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사용법" sheetId="1" state="visible" r:id="rId3"/>
    <sheet name="02_완료기준" sheetId="2" state="visible" r:id="rId4"/>
    <sheet name="07_팀별변경" sheetId="3" state="visible" r:id="rId5"/>
    <sheet name="11_보상1" sheetId="4" state="visible" r:id="rId6"/>
    <sheet name="12_보상2" sheetId="5" state="visible" r:id="rId7"/>
    <sheet name="13_보상3" sheetId="6" state="visible" r:id="rId8"/>
    <sheet name="14_보상4" sheetId="7" state="visible" r:id="rId9"/>
    <sheet name="17_PPO1" sheetId="8" state="visible" r:id="rId10"/>
    <sheet name="18_PPO2" sheetId="9" state="visible" r:id="rId11"/>
    <sheet name="21_학습비교" sheetId="10" state="visible" r:id="rId12"/>
    <sheet name="22_경로예측" sheetId="11" state="visible" r:id="rId13"/>
    <sheet name="23_빠르고안정" sheetId="12" state="visible" r:id="rId14"/>
    <sheet name="24_팔카메라보상" sheetId="13" state="visible" r:id="rId15"/>
    <sheet name="25_팔카메라PPO" sheetId="14" state="visible" r:id="rId16"/>
    <sheet name="26_팔회전범위" sheetId="15" state="visible" r:id="rId17"/>
    <sheet name="32_cuVSLAM설정" sheetId="16" state="visible" r:id="rId18"/>
    <sheet name="33_cuVSLAM조정" sheetId="17" state="visible" r:id="rId19"/>
    <sheet name="35_센서입력" sheetId="18" state="visible" r:id="rId20"/>
    <sheet name="37_EKF_AMCL" sheetId="19" state="visible" r:id="rId21"/>
    <sheet name="39_엔코더" sheetId="20" state="visible" r:id="rId22"/>
    <sheet name="42_Nav2통로" sheetId="21" state="visible" r:id="rId23"/>
    <sheet name="43_Nav2_MPPI" sheetId="22" state="visible" r:id="rId24"/>
    <sheet name="45_스워브모듈" sheetId="23" state="visible" r:id="rId25"/>
    <sheet name="46_스워브구동기" sheetId="24" state="visible" r:id="rId26"/>
    <sheet name="47_스워브반전" sheetId="25" state="visible" r:id="rId27"/>
    <sheet name="48_스워브Nav2" sheetId="26" state="visible" r:id="rId28"/>
    <sheet name="49_동역학조향" sheetId="27" state="visible" r:id="rId29"/>
    <sheet name="50_미로결과" sheetId="28" state="visible" r:id="rId30"/>
    <sheet name="51_센서누락" sheetId="29" state="visible" r:id="rId3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<sst xmlns="http://schemas.openxmlformats.org/spreadsheetml/2006/main" count="1153" uniqueCount="881">
  <si>
    <t xml:space="preserve">팀별 로봇 미로 주행 실습 — 관찰 결과 기록표</t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</si>
  <si>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선생님 공유 슬라이드 「팀별 로봇 미로 주행 — 보상 설계</t>
    </r>
    <r>
      <rPr>
        <i val="true"/>
        <sz val="9"/>
        <color rgb="FF666666"/>
        <rFont val="Arial"/>
        <family val="0"/>
        <charset val="1"/>
      </rPr>
      <t xml:space="preserve">·cuVSLAM·Nav2 </t>
    </r>
    <r>
      <rPr>
        <i val="true"/>
        <sz val="9"/>
        <color rgb="FF666666"/>
        <rFont val="Noto Sans CJK SC"/>
        <family val="2"/>
      </rPr>
      <t xml:space="preserve">실습」</t>
    </r>
  </si>
  <si>
    <t xml:space="preserve">사용법</t>
  </si>
  <si>
    <r>
      <rPr>
        <sz val="10"/>
        <rFont val="Noto Sans CJK SC"/>
        <family val="2"/>
      </rPr>
      <t xml:space="preserve">• 탭 하나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슬라이드 표 하나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탭 이름 앞 숫자가 슬라이드 번호예요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</si>
  <si>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회색 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선생님 슬라이드 예시</t>
    </r>
    <r>
      <rPr>
        <sz val="10"/>
        <rFont val="Arial"/>
        <family val="0"/>
        <charset val="1"/>
      </rPr>
      <t xml:space="preserve">(M38 </t>
    </r>
    <r>
      <rPr>
        <sz val="10"/>
        <rFont val="Noto Sans CJK SC"/>
        <family val="2"/>
      </rPr>
      <t xml:space="preserve">시연 값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고치지 않아요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</si>
  <si>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노란 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우리 팀이 실제로 관찰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측정해서 채우는 칸이에요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</si>
  <si>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판정은 목록에서 고르기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통과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보류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실패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미측정</t>
    </r>
    <r>
      <rPr>
        <sz val="10"/>
        <rFont val="Arial"/>
        <family val="0"/>
        <charset val="1"/>
      </rPr>
      <t xml:space="preserve">. 50_</t>
    </r>
    <r>
      <rPr>
        <sz val="10"/>
        <rFont val="Noto Sans CJK SC"/>
        <family val="2"/>
      </rPr>
      <t xml:space="preserve">미로결과의 판정은 숫자를 넣으면 자동이에요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</si>
  <si>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• 실물에서 재지 않고 가정한 값은 메모에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가정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이라고 꼭 적어요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슬라이드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완료 기준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</si>
  <si>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• 같은 조건</t>
    </r>
    <r>
      <rPr>
        <sz val="10"/>
        <rFont val="Arial"/>
        <family val="0"/>
        <charset val="1"/>
      </rPr>
      <t xml:space="preserve">(seed·</t>
    </r>
    <r>
      <rPr>
        <sz val="10"/>
        <rFont val="Noto Sans CJK SC"/>
        <family val="2"/>
      </rPr>
      <t xml:space="preserve">경로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초기 위치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에서 한 항목씩 바꿔 비교해요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슬라이드 </t>
    </r>
    <r>
      <rPr>
        <sz val="10"/>
        <rFont val="Arial"/>
        <family val="0"/>
        <charset val="1"/>
      </rPr>
      <t xml:space="preserve">20).</t>
    </r>
  </si>
  <si>
    <r>
      <rPr>
        <b val="true"/>
        <sz val="10"/>
        <rFont val="Noto Sans CJK SC"/>
        <family val="2"/>
      </rPr>
      <t xml:space="preserve">입력 예시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형식 참고용</t>
    </r>
    <r>
      <rPr>
        <b val="true"/>
        <sz val="10"/>
        <rFont val="Arial"/>
        <family val="0"/>
        <charset val="1"/>
      </rPr>
      <t xml:space="preserve">)</t>
    </r>
  </si>
  <si>
    <t xml:space="preserve">탭</t>
  </si>
  <si>
    <t xml:space="preserve">항목</t>
  </si>
  <si>
    <t xml:space="preserve">우리 로봇 설정값</t>
  </si>
  <si>
    <r>
      <rPr>
        <b val="true"/>
        <sz val="10"/>
        <color rgb="FFFFFFFF"/>
        <rFont val="Noto Sans CJK SC"/>
        <family val="2"/>
      </rPr>
      <t xml:space="preserve">관찰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측정 결과</t>
    </r>
  </si>
  <si>
    <t xml:space="preserve">판정</t>
  </si>
  <si>
    <r>
      <rPr>
        <b val="true"/>
        <sz val="10"/>
        <color rgb="FFFFFFFF"/>
        <rFont val="Noto Sans CJK SC"/>
        <family val="2"/>
      </rPr>
      <t xml:space="preserve">근거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로그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영상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파일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</si>
  <si>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담당</t>
  </si>
  <si>
    <t xml:space="preserve">날짜</t>
  </si>
  <si>
    <t xml:space="preserve">메모</t>
  </si>
  <si>
    <r>
      <rPr>
        <sz val="10"/>
        <rFont val="Arial"/>
        <family val="0"/>
        <charset val="1"/>
      </rPr>
      <t xml:space="preserve">33_cuVSLAM</t>
    </r>
    <r>
      <rPr>
        <sz val="10"/>
        <rFont val="Noto Sans CJK SC"/>
        <family val="2"/>
      </rPr>
      <t xml:space="preserve">조정</t>
    </r>
  </si>
  <si>
    <t xml:space="preserve">추적이 끊김</t>
  </si>
  <si>
    <r>
      <rPr>
        <sz val="10"/>
        <rFont val="Noto Sans CJK SC"/>
        <family val="2"/>
      </rPr>
      <t xml:space="preserve">노출 </t>
    </r>
    <r>
      <rPr>
        <sz val="10"/>
        <rFont val="Arial"/>
        <family val="0"/>
        <charset val="1"/>
      </rPr>
      <t xml:space="preserve">auto, 1280×720 30fps</t>
    </r>
  </si>
  <si>
    <r>
      <rPr>
        <sz val="10"/>
        <rFont val="Noto Sans CJK SC"/>
        <family val="2"/>
      </rPr>
      <t xml:space="preserve">복도 코너에서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 끊김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재획득 평균 </t>
    </r>
    <r>
      <rPr>
        <sz val="10"/>
        <rFont val="Arial"/>
        <family val="0"/>
        <charset val="1"/>
      </rPr>
      <t xml:space="preserve">1.2 s</t>
    </r>
  </si>
  <si>
    <t xml:space="preserve">보류</t>
  </si>
  <si>
    <t xml:space="preserve">evidence/run3/vslam.log</t>
  </si>
  <si>
    <t xml:space="preserve">김혜민</t>
  </si>
  <si>
    <t xml:space="preserve">2026-10-27</t>
  </si>
  <si>
    <r>
      <rPr>
        <sz val="10"/>
        <rFont val="Noto Sans CJK SC"/>
        <family val="2"/>
      </rPr>
      <t xml:space="preserve">무늬 없는 벽 구간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바닥 무늬는 합성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가정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</si>
  <si>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목차와 진행 현황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자동 집계</t>
    </r>
    <r>
      <rPr>
        <b val="true"/>
        <sz val="10"/>
        <rFont val="Arial"/>
        <family val="0"/>
        <charset val="1"/>
      </rPr>
      <t xml:space="preserve">)</t>
    </r>
  </si>
  <si>
    <t xml:space="preserve">슬라이드</t>
  </si>
  <si>
    <t xml:space="preserve">표 제목</t>
  </si>
  <si>
    <t xml:space="preserve">항목 수</t>
  </si>
  <si>
    <t xml:space="preserve">통과</t>
  </si>
  <si>
    <t xml:space="preserve">실패</t>
  </si>
  <si>
    <t xml:space="preserve">미측정</t>
  </si>
  <si>
    <t xml:space="preserve">기록률</t>
  </si>
  <si>
    <t xml:space="preserve">02_완료기준</t>
  </si>
  <si>
    <r>
      <rPr>
        <sz val="10"/>
        <rFont val="Noto Sans CJK SC"/>
        <family val="2"/>
      </rPr>
      <t xml:space="preserve">실습 목표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완료 기준</t>
    </r>
  </si>
  <si>
    <t xml:space="preserve">07_팀별변경</t>
  </si>
  <si>
    <r>
      <rPr>
        <sz val="10"/>
        <rFont val="Noto Sans CJK SC"/>
        <family val="2"/>
      </rPr>
      <t xml:space="preserve">팀별 로봇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그대로 복사하지 않을 값</t>
    </r>
  </si>
  <si>
    <t xml:space="preserve">11_보상1</t>
  </si>
  <si>
    <r>
      <rPr>
        <sz val="10"/>
        <rFont val="Noto Sans CJK SC"/>
        <family val="2"/>
      </rPr>
      <t xml:space="preserve">보상 사례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진행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목표 도착</t>
    </r>
  </si>
  <si>
    <t xml:space="preserve">12_보상2</t>
  </si>
  <si>
    <r>
      <rPr>
        <sz val="10"/>
        <rFont val="Noto Sans CJK SC"/>
        <family val="2"/>
      </rPr>
      <t xml:space="preserve">보상 사례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항의 크기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관측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악용</t>
    </r>
  </si>
  <si>
    <t xml:space="preserve">13_보상3</t>
  </si>
  <si>
    <r>
      <rPr>
        <sz val="10"/>
        <rFont val="Noto Sans CJK SC"/>
        <family val="2"/>
      </rPr>
      <t xml:space="preserve">보상 사례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충돌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우회</t>
    </r>
  </si>
  <si>
    <t xml:space="preserve">14_보상4</t>
  </si>
  <si>
    <r>
      <rPr>
        <sz val="10"/>
        <rFont val="Noto Sans CJK SC"/>
        <family val="2"/>
      </rPr>
      <t xml:space="preserve">보상 사례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진동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설계 오류</t>
    </r>
  </si>
  <si>
    <t xml:space="preserve">17_PPO1</t>
  </si>
  <si>
    <r>
      <rPr>
        <sz val="10"/>
        <rFont val="Arial"/>
        <family val="0"/>
        <charset val="1"/>
      </rPr>
      <t xml:space="preserve">PPO </t>
    </r>
    <r>
      <rPr>
        <sz val="10"/>
        <rFont val="Noto Sans CJK SC"/>
        <family val="2"/>
      </rPr>
      <t xml:space="preserve">튜닝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업데이트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탐색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가치함수</t>
    </r>
  </si>
  <si>
    <t xml:space="preserve">18_PPO2</t>
  </si>
  <si>
    <r>
      <rPr>
        <sz val="10"/>
        <rFont val="Arial"/>
        <family val="0"/>
        <charset val="1"/>
      </rPr>
      <t xml:space="preserve">PPO </t>
    </r>
    <r>
      <rPr>
        <sz val="10"/>
        <rFont val="Noto Sans CJK SC"/>
        <family val="2"/>
      </rPr>
      <t xml:space="preserve">튜닝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표본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실패 진단</t>
    </r>
  </si>
  <si>
    <t xml:space="preserve">21_학습비교</t>
  </si>
  <si>
    <r>
      <rPr>
        <sz val="10"/>
        <rFont val="Noto Sans CJK SC"/>
        <family val="2"/>
      </rPr>
      <t xml:space="preserve">학습 환경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실험 비교표</t>
    </r>
  </si>
  <si>
    <t xml:space="preserve">22_경로예측</t>
  </si>
  <si>
    <r>
      <rPr>
        <sz val="10"/>
        <rFont val="Noto Sans CJK SC"/>
        <family val="2"/>
      </rPr>
      <t xml:space="preserve">경로 예측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미리 보는 거리를 조정</t>
    </r>
  </si>
  <si>
    <t xml:space="preserve">23_빠르고안정</t>
  </si>
  <si>
    <r>
      <rPr>
        <sz val="10"/>
        <rFont val="Noto Sans CJK SC"/>
        <family val="2"/>
      </rPr>
      <t xml:space="preserve">보상 설계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빠르면서 안정적인 주행</t>
    </r>
  </si>
  <si>
    <t xml:space="preserve">24_팔카메라보상</t>
  </si>
  <si>
    <r>
      <rPr>
        <sz val="10"/>
        <rFont val="Noto Sans CJK SC"/>
        <family val="2"/>
      </rPr>
      <t xml:space="preserve">팔 카메라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보상 설계 사례</t>
    </r>
  </si>
  <si>
    <t xml:space="preserve">25_팔카메라PPO</t>
  </si>
  <si>
    <r>
      <rPr>
        <sz val="10"/>
        <rFont val="Noto Sans CJK SC"/>
        <family val="2"/>
      </rPr>
      <t xml:space="preserve">팔 카메라</t>
    </r>
    <r>
      <rPr>
        <sz val="10"/>
        <rFont val="Arial"/>
        <family val="0"/>
        <charset val="1"/>
      </rPr>
      <t xml:space="preserve">: PPO </t>
    </r>
    <r>
      <rPr>
        <sz val="10"/>
        <rFont val="Noto Sans CJK SC"/>
        <family val="2"/>
      </rPr>
      <t xml:space="preserve">설정과 조정 사례</t>
    </r>
  </si>
  <si>
    <t xml:space="preserve">26_팔회전범위</t>
  </si>
  <si>
    <r>
      <rPr>
        <sz val="10"/>
        <rFont val="Noto Sans CJK SC"/>
        <family val="2"/>
      </rPr>
      <t xml:space="preserve">팔 회전 범위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근거와 적용 범위</t>
    </r>
  </si>
  <si>
    <t xml:space="preserve">32_cuVSLAM설정</t>
  </si>
  <si>
    <r>
      <rPr>
        <sz val="10"/>
        <rFont val="Arial"/>
        <family val="0"/>
        <charset val="1"/>
      </rPr>
      <t xml:space="preserve">cuVSLAM: </t>
    </r>
    <r>
      <rPr>
        <sz val="10"/>
        <rFont val="Noto Sans CJK SC"/>
        <family val="2"/>
      </rPr>
      <t xml:space="preserve">최종 </t>
    </r>
    <r>
      <rPr>
        <sz val="10"/>
        <rFont val="Arial"/>
        <family val="0"/>
        <charset val="1"/>
      </rPr>
      <t xml:space="preserve">RGBD </t>
    </r>
    <r>
      <rPr>
        <sz val="10"/>
        <rFont val="Noto Sans CJK SC"/>
        <family val="2"/>
      </rPr>
      <t xml:space="preserve">설정과 토픽</t>
    </r>
  </si>
  <si>
    <t xml:space="preserve">33_cuVSLAM조정</t>
  </si>
  <si>
    <r>
      <rPr>
        <sz val="10"/>
        <rFont val="Arial"/>
        <family val="0"/>
        <charset val="1"/>
      </rPr>
      <t xml:space="preserve">cuVSLAM: </t>
    </r>
    <r>
      <rPr>
        <sz val="10"/>
        <rFont val="Noto Sans CJK SC"/>
        <family val="2"/>
      </rPr>
      <t xml:space="preserve">조정과 수정의 구분</t>
    </r>
  </si>
  <si>
    <t xml:space="preserve">35_센서입력</t>
  </si>
  <si>
    <r>
      <rPr>
        <sz val="10"/>
        <rFont val="Noto Sans CJK SC"/>
        <family val="2"/>
      </rPr>
      <t xml:space="preserve">센서 입력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엔코더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카메라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두 </t>
    </r>
    <r>
      <rPr>
        <sz val="10"/>
        <rFont val="Arial"/>
        <family val="0"/>
        <charset val="1"/>
      </rPr>
      <t xml:space="preserve">OpenCR</t>
    </r>
  </si>
  <si>
    <t xml:space="preserve">37_EKF_AMCL</t>
  </si>
  <si>
    <r>
      <rPr>
        <sz val="10"/>
        <rFont val="Noto Sans CJK SC"/>
        <family val="2"/>
      </rPr>
      <t xml:space="preserve">위치추정</t>
    </r>
    <r>
      <rPr>
        <sz val="10"/>
        <rFont val="Arial"/>
        <family val="0"/>
        <charset val="1"/>
      </rPr>
      <t xml:space="preserve">: EKF </t>
    </r>
    <r>
      <rPr>
        <sz val="10"/>
        <rFont val="Noto Sans CJK SC"/>
        <family val="2"/>
      </rPr>
      <t xml:space="preserve">융합과 </t>
    </r>
    <r>
      <rPr>
        <sz val="10"/>
        <rFont val="Arial"/>
        <family val="0"/>
        <charset val="1"/>
      </rPr>
      <t xml:space="preserve">Nav2 AMCL</t>
    </r>
  </si>
  <si>
    <t xml:space="preserve">39_엔코더</t>
  </si>
  <si>
    <r>
      <rPr>
        <sz val="10"/>
        <rFont val="Noto Sans CJK SC"/>
        <family val="2"/>
      </rPr>
      <t xml:space="preserve">엔코더 사례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각도 래핑과 역회전 오류</t>
    </r>
  </si>
  <si>
    <t xml:space="preserve">42_Nav2통로</t>
  </si>
  <si>
    <r>
      <rPr>
        <sz val="10"/>
        <rFont val="Arial"/>
        <family val="0"/>
        <charset val="1"/>
      </rPr>
      <t xml:space="preserve">Nav2: </t>
    </r>
    <r>
      <rPr>
        <sz val="10"/>
        <rFont val="Noto Sans CJK SC"/>
        <family val="2"/>
      </rPr>
      <t xml:space="preserve">통로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속도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도착 조정</t>
    </r>
  </si>
  <si>
    <t xml:space="preserve">43_Nav2_MPPI</t>
  </si>
  <si>
    <r>
      <rPr>
        <sz val="10"/>
        <rFont val="Arial"/>
        <family val="0"/>
        <charset val="1"/>
      </rPr>
      <t xml:space="preserve">Nav2: MPPI </t>
    </r>
    <r>
      <rPr>
        <sz val="10"/>
        <rFont val="Noto Sans CJK SC"/>
        <family val="2"/>
      </rPr>
      <t xml:space="preserve">파라미터를 바꿀 때</t>
    </r>
  </si>
  <si>
    <t xml:space="preserve">45_스워브모듈</t>
  </si>
  <si>
    <r>
      <rPr>
        <sz val="10"/>
        <rFont val="Noto Sans CJK SC"/>
        <family val="2"/>
      </rPr>
      <t xml:space="preserve">스워브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모듈 정의와 역기구학</t>
    </r>
  </si>
  <si>
    <t xml:space="preserve">46_스워브구동기</t>
  </si>
  <si>
    <r>
      <rPr>
        <sz val="10"/>
        <rFont val="Arial"/>
        <family val="0"/>
        <charset val="1"/>
      </rPr>
      <t xml:space="preserve">Isaac Lab: </t>
    </r>
    <r>
      <rPr>
        <sz val="10"/>
        <rFont val="Noto Sans CJK SC"/>
        <family val="2"/>
      </rPr>
      <t xml:space="preserve">스워브 구동기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관측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시간</t>
    </r>
  </si>
  <si>
    <t xml:space="preserve">47_스워브반전</t>
  </si>
  <si>
    <r>
      <rPr>
        <sz val="10"/>
        <rFont val="Noto Sans CJK SC"/>
        <family val="2"/>
      </rPr>
      <t xml:space="preserve">스워브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조향 반전과 증상별 수정</t>
    </r>
  </si>
  <si>
    <t xml:space="preserve">48_스워브Nav2</t>
  </si>
  <si>
    <r>
      <rPr>
        <sz val="10"/>
        <rFont val="Noto Sans CJK SC"/>
        <family val="2"/>
      </rPr>
      <t xml:space="preserve">부록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스워브와 </t>
    </r>
    <r>
      <rPr>
        <sz val="10"/>
        <rFont val="Arial"/>
        <family val="0"/>
        <charset val="1"/>
      </rPr>
      <t xml:space="preserve">Nav2 </t>
    </r>
    <r>
      <rPr>
        <sz val="10"/>
        <rFont val="Noto Sans CJK SC"/>
        <family val="2"/>
      </rPr>
      <t xml:space="preserve">연결</t>
    </r>
  </si>
  <si>
    <t xml:space="preserve">49_동역학조향</t>
  </si>
  <si>
    <r>
      <rPr>
        <sz val="10"/>
        <rFont val="Noto Sans CJK SC"/>
        <family val="2"/>
      </rPr>
      <t xml:space="preserve">동역학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조향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문제와 수정 사례</t>
    </r>
  </si>
  <si>
    <t xml:space="preserve">50_미로결과</t>
  </si>
  <si>
    <r>
      <rPr>
        <sz val="10"/>
        <rFont val="Noto Sans CJK SC"/>
        <family val="2"/>
      </rPr>
      <t xml:space="preserve">두 미로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실제 영상 폐루프 검증</t>
    </r>
  </si>
  <si>
    <t xml:space="preserve">51_센서누락</t>
  </si>
  <si>
    <r>
      <rPr>
        <sz val="10"/>
        <rFont val="Noto Sans CJK SC"/>
        <family val="2"/>
      </rPr>
      <t xml:space="preserve">센서 누락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정지와 추적 재획득</t>
    </r>
  </si>
  <si>
    <t xml:space="preserve">합계</t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</si>
  <si>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2] </t>
    </r>
    <r>
      <rPr>
        <b val="true"/>
        <sz val="14"/>
        <rFont val="Noto Sans CJK SC"/>
        <family val="2"/>
      </rPr>
      <t xml:space="preserve">실습 목표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완료 기준</t>
    </r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</si>
  <si>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선생님 공유 슬라이드 「팀별 로봇 미로 주행 — 보상 설계</t>
    </r>
    <r>
      <rPr>
        <i val="true"/>
        <sz val="9"/>
        <color rgb="FF666666"/>
        <rFont val="Arial"/>
        <family val="0"/>
        <charset val="1"/>
      </rPr>
      <t xml:space="preserve">·cuVSLAM·Nav2 </t>
    </r>
    <r>
      <rPr>
        <i val="true"/>
        <sz val="9"/>
        <color rgb="FF666666"/>
        <rFont val="Noto Sans CJK SC"/>
        <family val="2"/>
      </rPr>
      <t xml:space="preserve">실습」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회색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Noto Sans CJK SC"/>
        <family val="2"/>
      </rPr>
      <t xml:space="preserve">슬라이드 예시</t>
    </r>
    <r>
      <rPr>
        <i val="true"/>
        <sz val="9"/>
        <color rgb="FF666666"/>
        <rFont val="Arial"/>
        <family val="0"/>
        <charset val="1"/>
      </rPr>
      <t xml:space="preserve">(M38 </t>
    </r>
    <r>
      <rPr>
        <i val="true"/>
        <sz val="9"/>
        <color rgb="FF666666"/>
        <rFont val="Noto Sans CJK SC"/>
        <family val="2"/>
      </rPr>
      <t xml:space="preserve">시연</t>
    </r>
    <r>
      <rPr>
        <i val="true"/>
        <sz val="9"/>
        <color rgb="FF666666"/>
        <rFont val="Arial"/>
        <family val="0"/>
        <charset val="1"/>
      </rPr>
      <t xml:space="preserve">), </t>
    </r>
    <r>
      <rPr>
        <i val="true"/>
        <sz val="9"/>
        <color rgb="FF666666"/>
        <rFont val="Noto Sans CJK SC"/>
        <family val="2"/>
      </rPr>
      <t xml:space="preserve">노란색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Noto Sans CJK SC"/>
        <family val="2"/>
      </rPr>
      <t xml:space="preserve">우리 팀이 관찰해서 채울 칸</t>
    </r>
  </si>
  <si>
    <t xml:space="preserve">완료 기준</t>
  </si>
  <si>
    <t xml:space="preserve">목표값</t>
  </si>
  <si>
    <t xml:space="preserve">단위</t>
  </si>
  <si>
    <t xml:space="preserve">우리 측정값</t>
  </si>
  <si>
    <r>
      <rPr>
        <sz val="10"/>
        <rFont val="Noto Sans CJK SC"/>
        <family val="2"/>
      </rPr>
      <t xml:space="preserve">실제 목표 오차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미만</t>
    </r>
    <r>
      <rPr>
        <sz val="10"/>
        <rFont val="Arial"/>
        <family val="0"/>
        <charset val="1"/>
      </rPr>
      <t xml:space="preserve">)</t>
    </r>
  </si>
  <si>
    <t xml:space="preserve">m</t>
  </si>
  <si>
    <r>
      <rPr>
        <sz val="10"/>
        <rFont val="Noto Sans CJK SC"/>
        <family val="2"/>
      </rPr>
      <t xml:space="preserve">차체 최고 속도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이하</t>
    </r>
    <r>
      <rPr>
        <sz val="10"/>
        <rFont val="Arial"/>
        <family val="0"/>
        <charset val="1"/>
      </rPr>
      <t xml:space="preserve">)</t>
    </r>
  </si>
  <si>
    <t xml:space="preserve">m/s</t>
  </si>
  <si>
    <r>
      <rPr>
        <sz val="10"/>
        <rFont val="Noto Sans CJK SC"/>
        <family val="2"/>
      </rPr>
      <t xml:space="preserve">비바퀴 접촉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이하</t>
    </r>
    <r>
      <rPr>
        <sz val="10"/>
        <rFont val="Arial"/>
        <family val="0"/>
        <charset val="1"/>
      </rPr>
      <t xml:space="preserve">)</t>
    </r>
  </si>
  <si>
    <t xml:space="preserve">N</t>
  </si>
  <si>
    <r>
      <rPr>
        <sz val="10"/>
        <rFont val="Noto Sans CJK SC"/>
        <family val="2"/>
      </rPr>
      <t xml:space="preserve">센서 누락 시 정지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복구 확인</t>
    </r>
  </si>
  <si>
    <t xml:space="preserve">-</t>
  </si>
  <si>
    <r>
      <rPr>
        <sz val="10"/>
        <rFont val="Noto Sans CJK SC"/>
        <family val="2"/>
      </rPr>
      <t xml:space="preserve">로그</t>
    </r>
    <r>
      <rPr>
        <sz val="10"/>
        <rFont val="Arial"/>
        <family val="0"/>
        <charset val="1"/>
      </rPr>
      <t xml:space="preserve">·GUI </t>
    </r>
    <r>
      <rPr>
        <sz val="10"/>
        <rFont val="Noto Sans CJK SC"/>
        <family val="2"/>
      </rPr>
      <t xml:space="preserve">녹화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설정 파일 제출</t>
    </r>
  </si>
  <si>
    <t xml:space="preserve">실물 미측정 가정을 따로 적기</t>
  </si>
  <si>
    <r>
      <rPr>
        <i val="true"/>
        <sz val="9"/>
        <color rgb="FF666666"/>
        <rFont val="Noto Sans CJK SC"/>
        <family val="2"/>
      </rPr>
      <t xml:space="preserve">판정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숫자 기준 </t>
    </r>
    <r>
      <rPr>
        <i val="true"/>
        <sz val="9"/>
        <color rgb="FF666666"/>
        <rFont val="Arial"/>
        <family val="0"/>
        <charset val="1"/>
      </rPr>
      <t xml:space="preserve">3</t>
    </r>
    <r>
      <rPr>
        <i val="true"/>
        <sz val="9"/>
        <color rgb="FF666666"/>
        <rFont val="Noto Sans CJK SC"/>
        <family val="2"/>
      </rPr>
      <t xml:space="preserve">개</t>
    </r>
    <r>
      <rPr>
        <i val="true"/>
        <sz val="9"/>
        <color rgb="FF666666"/>
        <rFont val="Arial"/>
        <family val="0"/>
        <charset val="1"/>
      </rPr>
      <t xml:space="preserve">(5~7</t>
    </r>
    <r>
      <rPr>
        <i val="true"/>
        <sz val="9"/>
        <color rgb="FF666666"/>
        <rFont val="Noto Sans CJK SC"/>
        <family val="2"/>
      </rPr>
      <t xml:space="preserve">행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는 측정값을 넣으면 자동으로 통과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실패</t>
    </r>
    <r>
      <rPr>
        <i val="true"/>
        <sz val="9"/>
        <color rgb="FF666666"/>
        <rFont val="Arial"/>
        <family val="0"/>
        <charset val="1"/>
      </rPr>
      <t xml:space="preserve">, 8~10</t>
    </r>
    <r>
      <rPr>
        <i val="true"/>
        <sz val="9"/>
        <color rgb="FF666666"/>
        <rFont val="Noto Sans CJK SC"/>
        <family val="2"/>
      </rPr>
      <t xml:space="preserve">행은 목록에서 직접 고르기</t>
    </r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</si>
  <si>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7] </t>
    </r>
    <r>
      <rPr>
        <b val="true"/>
        <sz val="14"/>
        <rFont val="Noto Sans CJK SC"/>
        <family val="2"/>
      </rPr>
      <t xml:space="preserve">팀별 로봇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그대로 복사하지 않을 값</t>
    </r>
  </si>
  <si>
    <t xml:space="preserve">설정</t>
  </si>
  <si>
    <r>
      <rPr>
        <b val="true"/>
        <sz val="10"/>
        <color rgb="FFFFFFFF"/>
        <rFont val="Arial"/>
        <family val="0"/>
        <charset val="1"/>
      </rPr>
      <t xml:space="preserve">M38 </t>
    </r>
    <r>
      <rPr>
        <b val="true"/>
        <sz val="10"/>
        <color rgb="FFFFFFFF"/>
        <rFont val="Noto Sans CJK SC"/>
        <family val="2"/>
      </rPr>
      <t xml:space="preserve">시뮬 예시</t>
    </r>
  </si>
  <si>
    <t xml:space="preserve">팀별 변경</t>
  </si>
  <si>
    <t xml:space="preserve">검증</t>
  </si>
  <si>
    <t xml:space="preserve">기구학</t>
  </si>
  <si>
    <r>
      <rPr>
        <sz val="10"/>
        <rFont val="Noto Sans CJK SC"/>
        <family val="2"/>
      </rPr>
      <t xml:space="preserve">반경 </t>
    </r>
    <r>
      <rPr>
        <sz val="10"/>
        <rFont val="Arial"/>
        <family val="0"/>
        <charset val="1"/>
      </rPr>
      <t xml:space="preserve">0.030687 m / </t>
    </r>
    <r>
      <rPr>
        <sz val="10"/>
        <rFont val="Noto Sans CJK SC"/>
        <family val="2"/>
      </rPr>
      <t xml:space="preserve">기어 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</si>
  <si>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URDF </t>
    </r>
    <r>
      <rPr>
        <sz val="10"/>
        <rFont val="Noto Sans CJK SC"/>
        <family val="2"/>
      </rPr>
      <t xml:space="preserve">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반경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모듈 위치</t>
    </r>
  </si>
  <si>
    <r>
      <rPr>
        <sz val="10"/>
        <rFont val="Noto Sans CJK SC"/>
        <family val="2"/>
      </rPr>
      <t xml:space="preserve">직진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횡이동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회전 시험</t>
    </r>
  </si>
  <si>
    <t xml:space="preserve">동역학</t>
  </si>
  <si>
    <r>
      <rPr>
        <sz val="10"/>
        <rFont val="Noto Sans CJK SC"/>
        <family val="2"/>
      </rPr>
      <t xml:space="preserve">질량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관성은 가정 포함</t>
    </r>
  </si>
  <si>
    <r>
      <rPr>
        <sz val="10"/>
        <rFont val="Noto Sans CJK SC"/>
        <family val="2"/>
      </rPr>
      <t xml:space="preserve">실측 질량</t>
    </r>
    <r>
      <rPr>
        <sz val="10"/>
        <rFont val="Arial"/>
        <family val="0"/>
        <charset val="1"/>
      </rPr>
      <t xml:space="preserve">·COM·</t>
    </r>
    <r>
      <rPr>
        <sz val="10"/>
        <rFont val="Noto Sans CJK SC"/>
        <family val="2"/>
      </rPr>
      <t xml:space="preserve">모터 한계</t>
    </r>
  </si>
  <si>
    <r>
      <rPr>
        <sz val="10"/>
        <rFont val="Noto Sans CJK SC"/>
        <family val="2"/>
      </rPr>
      <t xml:space="preserve">전류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정지거리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슬립</t>
    </r>
  </si>
  <si>
    <r>
      <rPr>
        <sz val="10"/>
        <rFont val="Noto Sans CJK SC"/>
        <family val="2"/>
      </rPr>
      <t xml:space="preserve">카메라</t>
    </r>
    <r>
      <rPr>
        <sz val="10"/>
        <rFont val="Arial"/>
        <family val="0"/>
        <charset val="1"/>
      </rPr>
      <t xml:space="preserve">·IMU</t>
    </r>
  </si>
  <si>
    <r>
      <rPr>
        <sz val="10"/>
        <rFont val="Noto Sans CJK SC"/>
        <family val="2"/>
      </rPr>
      <t xml:space="preserve">가상 </t>
    </r>
    <r>
      <rPr>
        <sz val="10"/>
        <rFont val="Arial"/>
        <family val="0"/>
        <charset val="1"/>
      </rPr>
      <t xml:space="preserve">stereo / CAD </t>
    </r>
    <r>
      <rPr>
        <sz val="10"/>
        <rFont val="Noto Sans CJK SC"/>
        <family val="2"/>
      </rPr>
      <t xml:space="preserve">장착값</t>
    </r>
  </si>
  <si>
    <r>
      <rPr>
        <sz val="10"/>
        <rFont val="Arial"/>
        <family val="0"/>
        <charset val="1"/>
      </rPr>
      <t xml:space="preserve">intrinsic·TF·</t>
    </r>
    <r>
      <rPr>
        <sz val="10"/>
        <rFont val="Noto Sans CJK SC"/>
        <family val="2"/>
      </rPr>
      <t xml:space="preserve">시각</t>
    </r>
    <r>
      <rPr>
        <sz val="10"/>
        <rFont val="Arial"/>
        <family val="0"/>
        <charset val="1"/>
      </rPr>
      <t xml:space="preserve">·noise</t>
    </r>
  </si>
  <si>
    <r>
      <rPr>
        <sz val="10"/>
        <rFont val="Noto Sans CJK SC"/>
        <family val="2"/>
      </rPr>
      <t xml:space="preserve">정지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회전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가속 기록</t>
    </r>
  </si>
  <si>
    <t xml:space="preserve">정책 배포</t>
  </si>
  <si>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개 관측 </t>
    </r>
    <r>
      <rPr>
        <sz val="10"/>
        <rFont val="Arial"/>
        <family val="0"/>
        <charset val="1"/>
      </rPr>
      <t xml:space="preserve">/ 2</t>
    </r>
    <r>
      <rPr>
        <sz val="10"/>
        <rFont val="Noto Sans CJK SC"/>
        <family val="2"/>
      </rPr>
      <t xml:space="preserve">개 행동</t>
    </r>
  </si>
  <si>
    <r>
      <rPr>
        <sz val="10"/>
        <rFont val="Noto Sans CJK SC"/>
        <family val="2"/>
      </rPr>
      <t xml:space="preserve">정규화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단위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제약 일치</t>
    </r>
  </si>
  <si>
    <t xml:space="preserve">실제 영상 폐루프 평가</t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</si>
  <si>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11] </t>
    </r>
    <r>
      <rPr>
        <b val="true"/>
        <sz val="14"/>
        <rFont val="Noto Sans CJK SC"/>
        <family val="2"/>
      </rPr>
      <t xml:space="preserve">보상 사례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진행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시간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목표 도착</t>
    </r>
  </si>
  <si>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해석</t>
    </r>
  </si>
  <si>
    <t xml:space="preserve">조정 사례</t>
  </si>
  <si>
    <t xml:space="preserve">확인할 결과</t>
  </si>
  <si>
    <t xml:space="preserve">목표로 접근</t>
  </si>
  <si>
    <r>
      <rPr>
        <sz val="10"/>
        <rFont val="Noto Sans CJK SC"/>
        <family val="2"/>
      </rPr>
      <t xml:space="preserve">진행 계수 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</si>
  <si>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2·4·8 </t>
    </r>
    <r>
      <rPr>
        <sz val="10"/>
        <rFont val="Noto Sans CJK SC"/>
        <family val="2"/>
      </rPr>
      <t xml:space="preserve">비교</t>
    </r>
  </si>
  <si>
    <t xml:space="preserve">목표 거리 감소</t>
  </si>
  <si>
    <t xml:space="preserve">제자리 정지</t>
  </si>
  <si>
    <r>
      <rPr>
        <sz val="10"/>
        <rFont val="Noto Sans CJK SC"/>
        <family val="2"/>
      </rPr>
      <t xml:space="preserve">시간 비용 </t>
    </r>
    <r>
      <rPr>
        <sz val="10"/>
        <rFont val="Arial"/>
        <family val="0"/>
        <charset val="1"/>
      </rPr>
      <t xml:space="preserve">0.02</t>
    </r>
  </si>
  <si>
    <t xml:space="preserve">0.01·0.02·0.04</t>
  </si>
  <si>
    <r>
      <rPr>
        <sz val="10"/>
        <rFont val="Noto Sans CJK SC"/>
        <family val="2"/>
      </rPr>
      <t xml:space="preserve">정체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충돌 함께</t>
    </r>
  </si>
  <si>
    <t xml:space="preserve">과한 행동 억제</t>
  </si>
  <si>
    <r>
      <rPr>
        <sz val="10"/>
        <rFont val="Noto Sans CJK SC"/>
        <family val="2"/>
      </rPr>
      <t xml:space="preserve">행동 비용 </t>
    </r>
    <r>
      <rPr>
        <sz val="10"/>
        <rFont val="Arial"/>
        <family val="0"/>
        <charset val="1"/>
      </rPr>
      <t xml:space="preserve">0.01</t>
    </r>
  </si>
  <si>
    <t xml:space="preserve">0.005·0.01·0.02</t>
  </si>
  <si>
    <r>
      <rPr>
        <sz val="10"/>
        <rFont val="Noto Sans CJK SC"/>
        <family val="2"/>
      </rPr>
      <t xml:space="preserve">도착 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포화</t>
    </r>
  </si>
  <si>
    <t xml:space="preserve">목표 도착</t>
  </si>
  <si>
    <r>
      <rPr>
        <sz val="10"/>
        <rFont val="Noto Sans CJK SC"/>
        <family val="2"/>
      </rPr>
      <t xml:space="preserve">도달 보너스 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</si>
  <si>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1·2·4 </t>
    </r>
    <r>
      <rPr>
        <sz val="10"/>
        <rFont val="Noto Sans CJK SC"/>
        <family val="2"/>
      </rPr>
      <t xml:space="preserve">비교</t>
    </r>
  </si>
  <si>
    <r>
      <rPr>
        <sz val="10"/>
        <rFont val="Noto Sans CJK SC"/>
        <family val="2"/>
      </rPr>
      <t xml:space="preserve">완주율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반복 수령</t>
    </r>
  </si>
  <si>
    <t xml:space="preserve">도착 직전 진동</t>
  </si>
  <si>
    <r>
      <rPr>
        <sz val="10"/>
        <rFont val="Noto Sans CJK SC"/>
        <family val="2"/>
      </rPr>
      <t xml:space="preserve">반경 </t>
    </r>
    <r>
      <rPr>
        <sz val="10"/>
        <rFont val="Arial"/>
        <family val="0"/>
        <charset val="1"/>
      </rPr>
      <t xml:space="preserve">0.12 m</t>
    </r>
  </si>
  <si>
    <t xml:space="preserve">0.08·0.12·0.16</t>
  </si>
  <si>
    <r>
      <rPr>
        <sz val="10"/>
        <rFont val="Noto Sans CJK SC"/>
        <family val="2"/>
      </rPr>
      <t xml:space="preserve">오차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도달 시간</t>
    </r>
  </si>
  <si>
    <t xml:space="preserve">목표 지나쳐 성공</t>
  </si>
  <si>
    <t xml:space="preserve">거리만 사용</t>
  </si>
  <si>
    <t xml:space="preserve">속도 조건도 추가</t>
  </si>
  <si>
    <t xml:space="preserve">정지 후 도착</t>
  </si>
  <si>
    <t xml:space="preserve">목표 보너스 반복</t>
  </si>
  <si>
    <r>
      <rPr>
        <sz val="10"/>
        <rFont val="Noto Sans CJK SC"/>
        <family val="2"/>
      </rPr>
      <t xml:space="preserve">매 </t>
    </r>
    <r>
      <rPr>
        <sz val="10"/>
        <rFont val="Arial"/>
        <family val="0"/>
        <charset val="1"/>
      </rPr>
      <t xml:space="preserve">step +2</t>
    </r>
  </si>
  <si>
    <r>
      <rPr>
        <sz val="10"/>
        <rFont val="Noto Sans CJK SC"/>
        <family val="2"/>
      </rPr>
      <t xml:space="preserve">최초 도달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종료</t>
    </r>
  </si>
  <si>
    <t xml:space="preserve">보너스 횟수</t>
  </si>
  <si>
    <t xml:space="preserve">넘어져 빨리 끝냄</t>
  </si>
  <si>
    <t xml:space="preserve">실패 비용 없음</t>
  </si>
  <si>
    <r>
      <rPr>
        <sz val="10"/>
        <rFont val="Noto Sans CJK SC"/>
        <family val="2"/>
      </rPr>
      <t xml:space="preserve">실패 비용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모델 점검</t>
    </r>
  </si>
  <si>
    <r>
      <rPr>
        <sz val="10"/>
        <rFont val="Noto Sans CJK SC"/>
        <family val="2"/>
      </rPr>
      <t xml:space="preserve">실패율</t>
    </r>
    <r>
      <rPr>
        <sz val="10"/>
        <rFont val="Arial"/>
        <family val="0"/>
        <charset val="1"/>
      </rPr>
      <t xml:space="preserve">·return</t>
    </r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</si>
  <si>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12] </t>
    </r>
    <r>
      <rPr>
        <b val="true"/>
        <sz val="14"/>
        <rFont val="Noto Sans CJK SC"/>
        <family val="2"/>
      </rPr>
      <t xml:space="preserve">보상 사례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항의 크기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관측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악용</t>
    </r>
  </si>
  <si>
    <r>
      <rPr>
        <sz val="10"/>
        <rFont val="Arial"/>
        <family val="0"/>
        <charset val="1"/>
      </rPr>
      <t xml:space="preserve">1 cm </t>
    </r>
    <r>
      <rPr>
        <sz val="10"/>
        <rFont val="Noto Sans CJK SC"/>
        <family val="2"/>
      </rPr>
      <t xml:space="preserve">전진</t>
    </r>
  </si>
  <si>
    <r>
      <rPr>
        <sz val="10"/>
        <rFont val="Arial"/>
        <family val="0"/>
        <charset val="1"/>
      </rPr>
      <t xml:space="preserve">dt=1/15</t>
    </r>
    <r>
      <rPr>
        <sz val="10"/>
        <rFont val="Noto Sans CJK SC"/>
        <family val="2"/>
      </rPr>
      <t xml:space="preserve">초</t>
    </r>
  </si>
  <si>
    <r>
      <rPr>
        <sz val="10"/>
        <rFont val="Noto Sans CJK SC"/>
        <family val="2"/>
      </rPr>
      <t xml:space="preserve">진행 항 </t>
    </r>
    <r>
      <rPr>
        <sz val="10"/>
        <rFont val="Arial"/>
        <family val="0"/>
        <charset val="1"/>
      </rPr>
      <t xml:space="preserve">+0.60</t>
    </r>
  </si>
  <si>
    <r>
      <rPr>
        <sz val="10"/>
        <rFont val="Noto Sans CJK SC"/>
        <family val="2"/>
      </rPr>
      <t xml:space="preserve">방향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단위 검산</t>
    </r>
  </si>
  <si>
    <r>
      <rPr>
        <sz val="10"/>
        <rFont val="Arial"/>
        <family val="0"/>
        <charset val="1"/>
      </rPr>
      <t xml:space="preserve">1 cm </t>
    </r>
    <r>
      <rPr>
        <sz val="10"/>
        <rFont val="Noto Sans CJK SC"/>
        <family val="2"/>
      </rPr>
      <t xml:space="preserve">후퇴</t>
    </r>
  </si>
  <si>
    <t xml:space="preserve">같은 목표</t>
  </si>
  <si>
    <r>
      <rPr>
        <sz val="10"/>
        <rFont val="Noto Sans CJK SC"/>
        <family val="2"/>
      </rPr>
      <t xml:space="preserve">진행 항 −</t>
    </r>
    <r>
      <rPr>
        <sz val="10"/>
        <rFont val="Arial"/>
        <family val="0"/>
        <charset val="1"/>
      </rPr>
      <t xml:space="preserve">0.60</t>
    </r>
  </si>
  <si>
    <t xml:space="preserve">후진을 항상 벌하지 않기</t>
  </si>
  <si>
    <t xml:space="preserve">행동 두 축 최대</t>
  </si>
  <si>
    <r>
      <rPr>
        <sz val="10"/>
        <rFont val="Noto Sans CJK SC"/>
        <family val="2"/>
      </rPr>
      <t xml:space="preserve">각 축 </t>
    </r>
    <r>
      <rPr>
        <sz val="10"/>
        <rFont val="Arial"/>
        <family val="0"/>
        <charset val="1"/>
      </rPr>
      <t xml:space="preserve">|a|≤1</t>
    </r>
  </si>
  <si>
    <r>
      <rPr>
        <sz val="10"/>
        <rFont val="Noto Sans CJK SC"/>
        <family val="2"/>
      </rPr>
      <t xml:space="preserve">행동 항 −</t>
    </r>
    <r>
      <rPr>
        <sz val="10"/>
        <rFont val="Arial"/>
        <family val="0"/>
        <charset val="1"/>
      </rPr>
      <t xml:space="preserve">0.02</t>
    </r>
  </si>
  <si>
    <t xml:space="preserve">진행 항과 비율</t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</si>
  <si>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초 정지</t>
    </r>
  </si>
  <si>
    <t xml:space="preserve">120 step</t>
  </si>
  <si>
    <r>
      <rPr>
        <sz val="10"/>
        <rFont val="Noto Sans CJK SC"/>
        <family val="2"/>
      </rPr>
      <t xml:space="preserve">시간 합 −</t>
    </r>
    <r>
      <rPr>
        <sz val="10"/>
        <rFont val="Arial"/>
        <family val="0"/>
        <charset val="1"/>
      </rPr>
      <t xml:space="preserve">2.4</t>
    </r>
  </si>
  <si>
    <t xml:space="preserve">자살 종료 유인</t>
  </si>
  <si>
    <t xml:space="preserve">접촉 벌점만 추가</t>
  </si>
  <si>
    <t xml:space="preserve">벽 입력 없음</t>
  </si>
  <si>
    <r>
      <rPr>
        <sz val="10"/>
        <rFont val="Noto Sans CJK SC"/>
        <family val="2"/>
      </rPr>
      <t xml:space="preserve">거리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접촉 관측 추가</t>
    </r>
  </si>
  <si>
    <t xml:space="preserve">상태 구분 여부</t>
  </si>
  <si>
    <t xml:space="preserve">한 방향만 성공</t>
  </si>
  <si>
    <t xml:space="preserve">전방 목표만 학습</t>
  </si>
  <si>
    <r>
      <rPr>
        <sz val="10"/>
        <rFont val="Noto Sans CJK SC"/>
        <family val="2"/>
      </rPr>
      <t xml:space="preserve">양방향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여러 시작점</t>
    </r>
  </si>
  <si>
    <t xml:space="preserve">시작점별 성공률</t>
  </si>
  <si>
    <t xml:space="preserve">보상만 급상승</t>
  </si>
  <si>
    <r>
      <rPr>
        <sz val="10"/>
        <rFont val="Arial"/>
        <family val="0"/>
        <charset val="1"/>
      </rPr>
      <t xml:space="preserve">reset </t>
    </r>
    <r>
      <rPr>
        <sz val="10"/>
        <rFont val="Noto Sans CJK SC"/>
        <family val="2"/>
      </rPr>
      <t xml:space="preserve">거리 튐</t>
    </r>
  </si>
  <si>
    <t xml:space="preserve">기준 거리 재설정</t>
  </si>
  <si>
    <r>
      <rPr>
        <sz val="10"/>
        <rFont val="Arial"/>
        <family val="0"/>
        <charset val="1"/>
      </rPr>
      <t xml:space="preserve">reset </t>
    </r>
    <r>
      <rPr>
        <sz val="10"/>
        <rFont val="Noto Sans CJK SC"/>
        <family val="2"/>
      </rPr>
      <t xml:space="preserve">직전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직후</t>
    </r>
  </si>
  <si>
    <r>
      <rPr>
        <sz val="10"/>
        <rFont val="Arial"/>
        <family val="0"/>
        <charset val="1"/>
      </rPr>
      <t xml:space="preserve">Sim</t>
    </r>
    <r>
      <rPr>
        <sz val="10"/>
        <rFont val="Noto Sans CJK SC"/>
        <family val="2"/>
      </rPr>
      <t xml:space="preserve">만 잘 움직임</t>
    </r>
  </si>
  <si>
    <r>
      <rPr>
        <sz val="10"/>
        <rFont val="Noto Sans CJK SC"/>
        <family val="2"/>
      </rPr>
      <t xml:space="preserve">정답 </t>
    </r>
    <r>
      <rPr>
        <sz val="10"/>
        <rFont val="Arial"/>
        <family val="0"/>
        <charset val="1"/>
      </rPr>
      <t xml:space="preserve">pose </t>
    </r>
    <r>
      <rPr>
        <sz val="10"/>
        <rFont val="Noto Sans CJK SC"/>
        <family val="2"/>
      </rPr>
      <t xml:space="preserve">학습</t>
    </r>
  </si>
  <si>
    <r>
      <rPr>
        <sz val="10"/>
        <rFont val="Noto Sans CJK SC"/>
        <family val="2"/>
      </rPr>
      <t xml:space="preserve">노이즈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지연 단계화</t>
    </r>
  </si>
  <si>
    <r>
      <rPr>
        <sz val="10"/>
        <rFont val="Noto Sans CJK SC"/>
        <family val="2"/>
      </rPr>
      <t xml:space="preserve">추정 </t>
    </r>
    <r>
      <rPr>
        <sz val="10"/>
        <rFont val="Arial"/>
        <family val="0"/>
        <charset val="1"/>
      </rPr>
      <t xml:space="preserve">pose </t>
    </r>
    <r>
      <rPr>
        <sz val="10"/>
        <rFont val="Noto Sans CJK SC"/>
        <family val="2"/>
      </rPr>
      <t xml:space="preserve">평가</t>
    </r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</si>
  <si>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13] </t>
    </r>
    <r>
      <rPr>
        <b val="true"/>
        <sz val="14"/>
        <rFont val="Noto Sans CJK SC"/>
        <family val="2"/>
      </rPr>
      <t xml:space="preserve">보상 사례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충돌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코너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우회</t>
    </r>
  </si>
  <si>
    <t xml:space="preserve">상황</t>
  </si>
  <si>
    <t xml:space="preserve">설계 기준</t>
  </si>
  <si>
    <t xml:space="preserve">벽에 계속 밀기</t>
  </si>
  <si>
    <t xml:space="preserve">충돌 이벤트 비용</t>
  </si>
  <si>
    <t xml:space="preserve">작은 값부터 증가</t>
  </si>
  <si>
    <r>
      <rPr>
        <sz val="10"/>
        <rFont val="Noto Sans CJK SC"/>
        <family val="2"/>
      </rPr>
      <t xml:space="preserve">접촉률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정지율</t>
    </r>
  </si>
  <si>
    <t xml:space="preserve">벽에 너무 근접</t>
  </si>
  <si>
    <t xml:space="preserve">거리 여유 비용</t>
  </si>
  <si>
    <t xml:space="preserve">안전거리 안에서만</t>
  </si>
  <si>
    <t xml:space="preserve">최소 외곽 거리</t>
  </si>
  <si>
    <t xml:space="preserve">바닥 접촉 벌점</t>
  </si>
  <si>
    <t xml:space="preserve">접촉 필터 오류</t>
  </si>
  <si>
    <r>
      <rPr>
        <sz val="10"/>
        <rFont val="Noto Sans CJK SC"/>
        <family val="2"/>
      </rPr>
      <t xml:space="preserve">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차체만 구분</t>
    </r>
  </si>
  <si>
    <t xml:space="preserve">정지 중 감점 여부</t>
  </si>
  <si>
    <t xml:space="preserve">좁은 통로 회피</t>
  </si>
  <si>
    <t xml:space="preserve">과한 안전거리</t>
  </si>
  <si>
    <t xml:space="preserve">통로 반폭 이하 검토</t>
  </si>
  <si>
    <t xml:space="preserve">통과 가능성</t>
  </si>
  <si>
    <t xml:space="preserve">직선 거리만 감소</t>
  </si>
  <si>
    <t xml:space="preserve">벽 뒤 목표</t>
  </si>
  <si>
    <t xml:space="preserve">경로 진행률 사용</t>
  </si>
  <si>
    <t xml:space="preserve">벽 관통 지름길</t>
  </si>
  <si>
    <t xml:space="preserve">코너에서 정체</t>
  </si>
  <si>
    <r>
      <rPr>
        <sz val="10"/>
        <rFont val="Noto Sans CJK SC"/>
        <family val="2"/>
      </rPr>
      <t xml:space="preserve">먼 </t>
    </r>
    <r>
      <rPr>
        <sz val="10"/>
        <rFont val="Arial"/>
        <family val="0"/>
        <charset val="1"/>
      </rPr>
      <t xml:space="preserve">lookahead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</si>
  <si>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점 →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점 비교</t>
    </r>
  </si>
  <si>
    <r>
      <rPr>
        <sz val="10"/>
        <rFont val="Noto Sans CJK SC"/>
        <family val="2"/>
      </rPr>
      <t xml:space="preserve">코너 여유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진동</t>
    </r>
  </si>
  <si>
    <t xml:space="preserve">막다른 길 탈출</t>
  </si>
  <si>
    <t xml:space="preserve">후진을 일괄 벌점</t>
  </si>
  <si>
    <t xml:space="preserve">목표 진행으로 보상</t>
  </si>
  <si>
    <t xml:space="preserve">후진 회복 성공</t>
  </si>
  <si>
    <t xml:space="preserve">우회 중 거리 증가</t>
  </si>
  <si>
    <t xml:space="preserve">직선 거리 페널티</t>
  </si>
  <si>
    <t xml:space="preserve">경로 잔여길이 고려</t>
  </si>
  <si>
    <t xml:space="preserve">우회 경로 선택</t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</si>
  <si>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14] </t>
    </r>
    <r>
      <rPr>
        <b val="true"/>
        <sz val="14"/>
        <rFont val="Noto Sans CJK SC"/>
        <family val="2"/>
      </rPr>
      <t xml:space="preserve">보상 사례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진동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정체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설계 오류</t>
    </r>
  </si>
  <si>
    <r>
      <rPr>
        <b val="true"/>
        <sz val="10"/>
        <color rgb="FFFFFFFF"/>
        <rFont val="Noto Sans CJK SC"/>
        <family val="2"/>
      </rPr>
      <t xml:space="preserve">증상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항목</t>
    </r>
  </si>
  <si>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원인</t>
    </r>
  </si>
  <si>
    <r>
      <rPr>
        <b val="true"/>
        <sz val="10"/>
        <color rgb="FFFFFFFF"/>
        <rFont val="Noto Sans CJK SC"/>
        <family val="2"/>
      </rPr>
      <t xml:space="preserve">조정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확인</t>
    </r>
  </si>
  <si>
    <t xml:space="preserve">판단 기준</t>
  </si>
  <si>
    <t xml:space="preserve">좌우 명령 진동</t>
  </si>
  <si>
    <t xml:space="preserve">행동 변화 비용</t>
  </si>
  <si>
    <r>
      <rPr>
        <sz val="10"/>
        <rFont val="Arial"/>
        <family val="0"/>
        <charset val="1"/>
      </rPr>
      <t xml:space="preserve">‖a−a_prev‖² </t>
    </r>
    <r>
      <rPr>
        <sz val="10"/>
        <rFont val="Noto Sans CJK SC"/>
        <family val="2"/>
      </rPr>
      <t xml:space="preserve">추가</t>
    </r>
  </si>
  <si>
    <r>
      <rPr>
        <sz val="10"/>
        <rFont val="Noto Sans CJK SC"/>
        <family val="2"/>
      </rPr>
      <t xml:space="preserve">전환 횟수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지연</t>
    </r>
  </si>
  <si>
    <t xml:space="preserve">조향각 반복 반전</t>
  </si>
  <si>
    <r>
      <rPr>
        <sz val="10"/>
        <rFont val="Arial"/>
        <family val="0"/>
        <charset val="1"/>
      </rPr>
      <t xml:space="preserve">±90° </t>
    </r>
    <r>
      <rPr>
        <sz val="10"/>
        <rFont val="Noto Sans CJK SC"/>
        <family val="2"/>
      </rPr>
      <t xml:space="preserve">분기</t>
    </r>
  </si>
  <si>
    <t xml:space="preserve">구동 분기부터 수정</t>
  </si>
  <si>
    <r>
      <rPr>
        <sz val="10"/>
        <rFont val="Noto Sans CJK SC"/>
        <family val="2"/>
      </rPr>
      <t xml:space="preserve">바퀴 부호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정체</t>
    </r>
  </si>
  <si>
    <r>
      <rPr>
        <sz val="10"/>
        <rFont val="Noto Sans CJK SC"/>
        <family val="2"/>
      </rPr>
      <t xml:space="preserve">급가속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미끄러짐</t>
    </r>
  </si>
  <si>
    <t xml:space="preserve">가속도 비용</t>
  </si>
  <si>
    <t xml:space="preserve">낮은 계수부터</t>
  </si>
  <si>
    <r>
      <rPr>
        <sz val="10"/>
        <rFont val="Noto Sans CJK SC"/>
        <family val="2"/>
      </rPr>
      <t xml:space="preserve">미끄럼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주행 시간</t>
    </r>
  </si>
  <si>
    <r>
      <rPr>
        <sz val="10"/>
        <rFont val="Noto Sans CJK SC"/>
        <family val="2"/>
      </rPr>
      <t xml:space="preserve">전복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지면 이탈</t>
    </r>
  </si>
  <si>
    <r>
      <rPr>
        <sz val="10"/>
        <rFont val="Noto Sans CJK SC"/>
        <family val="2"/>
      </rPr>
      <t xml:space="preserve">기울기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실패</t>
    </r>
  </si>
  <si>
    <r>
      <rPr>
        <sz val="10"/>
        <rFont val="Noto Sans CJK SC"/>
        <family val="2"/>
      </rPr>
      <t xml:space="preserve">실패 종료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비용</t>
    </r>
  </si>
  <si>
    <r>
      <rPr>
        <sz val="10"/>
        <rFont val="Noto Sans CJK SC"/>
        <family val="2"/>
      </rPr>
      <t xml:space="preserve">안정 높이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완주</t>
    </r>
  </si>
  <si>
    <t xml:space="preserve">정지 상태 유지</t>
  </si>
  <si>
    <r>
      <rPr>
        <sz val="10"/>
        <rFont val="Noto Sans CJK SC"/>
        <family val="2"/>
      </rPr>
      <t xml:space="preserve">진행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시간 항 불균형</t>
    </r>
  </si>
  <si>
    <t xml:space="preserve">항별 평균 크기 비교</t>
  </si>
  <si>
    <t xml:space="preserve">정지 보상 악용</t>
  </si>
  <si>
    <t xml:space="preserve">벽에 밀착</t>
  </si>
  <si>
    <r>
      <rPr>
        <sz val="10"/>
        <rFont val="Noto Sans CJK SC"/>
        <family val="2"/>
      </rPr>
      <t xml:space="preserve">접촉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거리 관측 누락</t>
    </r>
  </si>
  <si>
    <r>
      <rPr>
        <sz val="10"/>
        <rFont val="Noto Sans CJK SC"/>
        <family val="2"/>
      </rPr>
      <t xml:space="preserve">거리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접촉 항 추가</t>
    </r>
  </si>
  <si>
    <t xml:space="preserve">접촉 감소</t>
  </si>
  <si>
    <t xml:space="preserve">목표 주변 진동</t>
  </si>
  <si>
    <r>
      <rPr>
        <sz val="10"/>
        <rFont val="Noto Sans CJK SC"/>
        <family val="2"/>
      </rPr>
      <t xml:space="preserve">종료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감속 조건 불일치</t>
    </r>
  </si>
  <si>
    <r>
      <rPr>
        <sz val="10"/>
        <rFont val="Noto Sans CJK SC"/>
        <family val="2"/>
      </rPr>
      <t xml:space="preserve">속도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거리 함께 판정</t>
    </r>
  </si>
  <si>
    <t xml:space="preserve">안정된 도착</t>
  </si>
  <si>
    <t xml:space="preserve">리셋 보상 급증</t>
  </si>
  <si>
    <t xml:space="preserve">이전 거리 미초기화</t>
  </si>
  <si>
    <r>
      <rPr>
        <sz val="10"/>
        <rFont val="Arial"/>
        <family val="0"/>
        <charset val="1"/>
      </rPr>
      <t xml:space="preserve">reset </t>
    </r>
    <r>
      <rPr>
        <sz val="10"/>
        <rFont val="Noto Sans CJK SC"/>
        <family val="2"/>
      </rPr>
      <t xml:space="preserve">상태 함께 초기화</t>
    </r>
  </si>
  <si>
    <r>
      <rPr>
        <sz val="10"/>
        <rFont val="Noto Sans CJK SC"/>
        <family val="2"/>
      </rPr>
      <t xml:space="preserve">보상 </t>
    </r>
    <r>
      <rPr>
        <sz val="10"/>
        <rFont val="Arial"/>
        <family val="0"/>
        <charset val="1"/>
      </rPr>
      <t xml:space="preserve">spike </t>
    </r>
    <r>
      <rPr>
        <sz val="10"/>
        <rFont val="Noto Sans CJK SC"/>
        <family val="2"/>
      </rPr>
      <t xml:space="preserve">제거</t>
    </r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</si>
  <si>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17] PPO </t>
    </r>
    <r>
      <rPr>
        <b val="true"/>
        <sz val="14"/>
        <rFont val="Noto Sans CJK SC"/>
        <family val="2"/>
      </rPr>
      <t xml:space="preserve">튜닝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업데이트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탐색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가치함수</t>
    </r>
  </si>
  <si>
    <r>
      <rPr>
        <b val="true"/>
        <sz val="10"/>
        <color rgb="FFFFFFFF"/>
        <rFont val="Noto Sans CJK SC"/>
        <family val="2"/>
      </rPr>
      <t xml:space="preserve">상황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항목</t>
    </r>
  </si>
  <si>
    <r>
      <rPr>
        <b val="true"/>
        <sz val="10"/>
        <color rgb="FFFFFFFF"/>
        <rFont val="Noto Sans CJK SC"/>
        <family val="2"/>
      </rPr>
      <t xml:space="preserve">기준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예시</t>
    </r>
  </si>
  <si>
    <t xml:space="preserve">조정 방향</t>
  </si>
  <si>
    <t xml:space="preserve">학습률</t>
  </si>
  <si>
    <t xml:space="preserve">3e−4</t>
  </si>
  <si>
    <r>
      <rPr>
        <sz val="10"/>
        <rFont val="Noto Sans CJK SC"/>
        <family val="2"/>
      </rPr>
      <t xml:space="preserve">불안정</t>
    </r>
    <r>
      <rPr>
        <sz val="10"/>
        <rFont val="Arial"/>
        <family val="0"/>
        <charset val="1"/>
      </rPr>
      <t xml:space="preserve">: 1e−4 </t>
    </r>
    <r>
      <rPr>
        <sz val="10"/>
        <rFont val="Noto Sans CJK SC"/>
        <family val="2"/>
      </rPr>
      <t xml:space="preserve">비교</t>
    </r>
  </si>
  <si>
    <r>
      <rPr>
        <sz val="10"/>
        <rFont val="Arial"/>
        <family val="0"/>
        <charset val="1"/>
      </rPr>
      <t xml:space="preserve">KL·</t>
    </r>
    <r>
      <rPr>
        <sz val="10"/>
        <rFont val="Noto Sans CJK SC"/>
        <family val="2"/>
      </rPr>
      <t xml:space="preserve">성능 급락</t>
    </r>
  </si>
  <si>
    <t xml:space="preserve">clip epsilon</t>
  </si>
  <si>
    <t xml:space="preserve">0.2</t>
  </si>
  <si>
    <r>
      <rPr>
        <sz val="10"/>
        <rFont val="Noto Sans CJK SC"/>
        <family val="2"/>
      </rPr>
      <t xml:space="preserve">큰 갱신</t>
    </r>
    <r>
      <rPr>
        <sz val="10"/>
        <rFont val="Arial"/>
        <family val="0"/>
        <charset val="1"/>
      </rPr>
      <t xml:space="preserve">: 0.1 </t>
    </r>
    <r>
      <rPr>
        <sz val="10"/>
        <rFont val="Noto Sans CJK SC"/>
        <family val="2"/>
      </rPr>
      <t xml:space="preserve">비교</t>
    </r>
  </si>
  <si>
    <t xml:space="preserve">clip fraction</t>
  </si>
  <si>
    <t xml:space="preserve">update epoch</t>
  </si>
  <si>
    <t xml:space="preserve">4</t>
  </si>
  <si>
    <r>
      <rPr>
        <sz val="10"/>
        <rFont val="Noto Sans CJK SC"/>
        <family val="2"/>
      </rPr>
      <t xml:space="preserve">과적합</t>
    </r>
    <r>
      <rPr>
        <sz val="10"/>
        <rFont val="Arial"/>
        <family val="0"/>
        <charset val="1"/>
      </rPr>
      <t xml:space="preserve">: 2</t>
    </r>
    <r>
      <rPr>
        <sz val="10"/>
        <rFont val="Noto Sans CJK SC"/>
        <family val="2"/>
      </rPr>
      <t xml:space="preserve">로 감소</t>
    </r>
  </si>
  <si>
    <r>
      <rPr>
        <sz val="10"/>
        <rFont val="Arial"/>
        <family val="0"/>
        <charset val="1"/>
      </rPr>
      <t xml:space="preserve">KL·</t>
    </r>
    <r>
      <rPr>
        <sz val="10"/>
        <rFont val="Noto Sans CJK SC"/>
        <family val="2"/>
      </rPr>
      <t xml:space="preserve">새 평가 성능</t>
    </r>
  </si>
  <si>
    <t xml:space="preserve">gradient norm</t>
  </si>
  <si>
    <t xml:space="preserve">1.0</t>
  </si>
  <si>
    <r>
      <rPr>
        <sz val="10"/>
        <rFont val="Noto Sans CJK SC"/>
        <family val="2"/>
      </rPr>
      <t xml:space="preserve">폭발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원인 먼저 확인</t>
    </r>
  </si>
  <si>
    <t xml:space="preserve">gradient·NaN</t>
  </si>
  <si>
    <r>
      <rPr>
        <sz val="10"/>
        <rFont val="Arial"/>
        <family val="0"/>
        <charset val="1"/>
      </rPr>
      <t xml:space="preserve">entropy </t>
    </r>
    <r>
      <rPr>
        <sz val="10"/>
        <rFont val="Noto Sans CJK SC"/>
        <family val="2"/>
      </rPr>
      <t xml:space="preserve">계수</t>
    </r>
  </si>
  <si>
    <t xml:space="preserve">0.005</t>
  </si>
  <si>
    <r>
      <rPr>
        <sz val="10"/>
        <rFont val="Noto Sans CJK SC"/>
        <family val="2"/>
      </rPr>
      <t xml:space="preserve">탐색 부족</t>
    </r>
    <r>
      <rPr>
        <sz val="10"/>
        <rFont val="Arial"/>
        <family val="0"/>
        <charset val="1"/>
      </rPr>
      <t xml:space="preserve">: 0.01 </t>
    </r>
    <r>
      <rPr>
        <sz val="10"/>
        <rFont val="Noto Sans CJK SC"/>
        <family val="2"/>
      </rPr>
      <t xml:space="preserve">비교</t>
    </r>
  </si>
  <si>
    <r>
      <rPr>
        <sz val="10"/>
        <rFont val="Noto Sans CJK SC"/>
        <family val="2"/>
      </rPr>
      <t xml:space="preserve">행동 </t>
    </r>
    <r>
      <rPr>
        <sz val="10"/>
        <rFont val="Arial"/>
        <family val="0"/>
        <charset val="1"/>
      </rPr>
      <t xml:space="preserve">std·</t>
    </r>
    <r>
      <rPr>
        <sz val="10"/>
        <rFont val="Noto Sans CJK SC"/>
        <family val="2"/>
      </rPr>
      <t xml:space="preserve">충돌</t>
    </r>
  </si>
  <si>
    <r>
      <rPr>
        <sz val="10"/>
        <rFont val="Noto Sans CJK SC"/>
        <family val="2"/>
      </rPr>
      <t xml:space="preserve">초기 </t>
    </r>
    <r>
      <rPr>
        <sz val="10"/>
        <rFont val="Arial"/>
        <family val="0"/>
        <charset val="1"/>
      </rPr>
      <t xml:space="preserve">log_std</t>
    </r>
  </si>
  <si>
    <t xml:space="preserve">−0.7</t>
  </si>
  <si>
    <r>
      <rPr>
        <sz val="10"/>
        <rFont val="Noto Sans CJK SC"/>
        <family val="2"/>
      </rPr>
      <t xml:space="preserve">포화 많음</t>
    </r>
    <r>
      <rPr>
        <sz val="10"/>
        <rFont val="Arial"/>
        <family val="0"/>
        <charset val="1"/>
      </rPr>
      <t xml:space="preserve">: −1 </t>
    </r>
    <r>
      <rPr>
        <sz val="10"/>
        <rFont val="Noto Sans CJK SC"/>
        <family val="2"/>
      </rPr>
      <t xml:space="preserve">비교</t>
    </r>
  </si>
  <si>
    <r>
      <rPr>
        <sz val="10"/>
        <rFont val="Arial"/>
        <family val="0"/>
        <charset val="1"/>
      </rPr>
      <t xml:space="preserve">clamp </t>
    </r>
    <r>
      <rPr>
        <sz val="10"/>
        <rFont val="Noto Sans CJK SC"/>
        <family val="2"/>
      </rPr>
      <t xml:space="preserve">비율</t>
    </r>
  </si>
  <si>
    <r>
      <rPr>
        <sz val="10"/>
        <rFont val="Arial"/>
        <family val="0"/>
        <charset val="1"/>
      </rPr>
      <t xml:space="preserve">value loss </t>
    </r>
    <r>
      <rPr>
        <sz val="10"/>
        <rFont val="Noto Sans CJK SC"/>
        <family val="2"/>
      </rPr>
      <t xml:space="preserve">계수</t>
    </r>
  </si>
  <si>
    <t xml:space="preserve">0.5</t>
  </si>
  <si>
    <t xml:space="preserve">가치 오차 먼저 분석</t>
  </si>
  <si>
    <r>
      <rPr>
        <sz val="10"/>
        <rFont val="Arial"/>
        <family val="0"/>
        <charset val="1"/>
      </rPr>
      <t xml:space="preserve">value loss·</t>
    </r>
    <r>
      <rPr>
        <sz val="10"/>
        <rFont val="Noto Sans CJK SC"/>
        <family val="2"/>
      </rPr>
      <t xml:space="preserve">설명력</t>
    </r>
  </si>
  <si>
    <t xml:space="preserve">관측 정규화</t>
  </si>
  <si>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clamp ±1</t>
    </r>
  </si>
  <si>
    <r>
      <rPr>
        <sz val="10"/>
        <rFont val="Noto Sans CJK SC"/>
        <family val="2"/>
      </rPr>
      <t xml:space="preserve">분포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단위 먼저 확인</t>
    </r>
  </si>
  <si>
    <t xml:space="preserve">입력 포화 비율</t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</si>
  <si>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18] PPO </t>
    </r>
    <r>
      <rPr>
        <b val="true"/>
        <sz val="14"/>
        <rFont val="Noto Sans CJK SC"/>
        <family val="2"/>
      </rPr>
      <t xml:space="preserve">튜닝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시간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표본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실패 진단</t>
    </r>
  </si>
  <si>
    <t xml:space="preserve">gamma</t>
  </si>
  <si>
    <t xml:space="preserve">0.99</t>
  </si>
  <si>
    <r>
      <rPr>
        <sz val="10"/>
        <rFont val="Noto Sans CJK SC"/>
        <family val="2"/>
      </rPr>
      <t xml:space="preserve">먼 성과</t>
    </r>
    <r>
      <rPr>
        <sz val="10"/>
        <rFont val="Arial"/>
        <family val="0"/>
        <charset val="1"/>
      </rPr>
      <t xml:space="preserve">: 0.995 </t>
    </r>
    <r>
      <rPr>
        <sz val="10"/>
        <rFont val="Noto Sans CJK SC"/>
        <family val="2"/>
      </rPr>
      <t xml:space="preserve">비교</t>
    </r>
  </si>
  <si>
    <r>
      <rPr>
        <sz val="10"/>
        <rFont val="Noto Sans CJK SC"/>
        <family val="2"/>
      </rPr>
      <t xml:space="preserve">지연 보상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분산</t>
    </r>
  </si>
  <si>
    <t xml:space="preserve">GAE lambda</t>
  </si>
  <si>
    <t xml:space="preserve">0.95</t>
  </si>
  <si>
    <r>
      <rPr>
        <sz val="10"/>
        <rFont val="Noto Sans CJK SC"/>
        <family val="2"/>
      </rPr>
      <t xml:space="preserve">분산 큼</t>
    </r>
    <r>
      <rPr>
        <sz val="10"/>
        <rFont val="Arial"/>
        <family val="0"/>
        <charset val="1"/>
      </rPr>
      <t xml:space="preserve">: 0.9 </t>
    </r>
    <r>
      <rPr>
        <sz val="10"/>
        <rFont val="Noto Sans CJK SC"/>
        <family val="2"/>
      </rPr>
      <t xml:space="preserve">비교</t>
    </r>
  </si>
  <si>
    <r>
      <rPr>
        <sz val="10"/>
        <rFont val="Arial"/>
        <family val="0"/>
        <charset val="1"/>
      </rPr>
      <t xml:space="preserve">advantage </t>
    </r>
    <r>
      <rPr>
        <sz val="10"/>
        <rFont val="Noto Sans CJK SC"/>
        <family val="2"/>
      </rPr>
      <t xml:space="preserve">분산</t>
    </r>
  </si>
  <si>
    <r>
      <rPr>
        <sz val="10"/>
        <rFont val="Arial"/>
        <family val="0"/>
        <charset val="1"/>
      </rPr>
      <t xml:space="preserve">rollout </t>
    </r>
    <r>
      <rPr>
        <sz val="10"/>
        <rFont val="Noto Sans CJK SC"/>
        <family val="2"/>
      </rPr>
      <t xml:space="preserve">길이</t>
    </r>
  </si>
  <si>
    <t xml:space="preserve">64 step</t>
  </si>
  <si>
    <r>
      <rPr>
        <sz val="10"/>
        <rFont val="Noto Sans CJK SC"/>
        <family val="2"/>
      </rPr>
      <t xml:space="preserve">긴 의존성</t>
    </r>
    <r>
      <rPr>
        <sz val="10"/>
        <rFont val="Arial"/>
        <family val="0"/>
        <charset val="1"/>
      </rPr>
      <t xml:space="preserve">: 128 </t>
    </r>
    <r>
      <rPr>
        <sz val="10"/>
        <rFont val="Noto Sans CJK SC"/>
        <family val="2"/>
      </rPr>
      <t xml:space="preserve">비교</t>
    </r>
  </si>
  <si>
    <r>
      <rPr>
        <sz val="10"/>
        <rFont val="Noto Sans CJK SC"/>
        <family val="2"/>
      </rPr>
      <t xml:space="preserve">메모리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표본 수</t>
    </r>
  </si>
  <si>
    <t xml:space="preserve">minibatch</t>
  </si>
  <si>
    <t xml:space="preserve">256</t>
  </si>
  <si>
    <t xml:space="preserve">총 표본 수와 맞춤</t>
  </si>
  <si>
    <t xml:space="preserve">업데이트 횟수</t>
  </si>
  <si>
    <t xml:space="preserve">timeout bootstrap</t>
  </si>
  <si>
    <r>
      <rPr>
        <sz val="10"/>
        <rFont val="Noto Sans CJK SC"/>
        <family val="2"/>
      </rPr>
      <t xml:space="preserve">현재 </t>
    </r>
    <r>
      <rPr>
        <sz val="10"/>
        <rFont val="Arial"/>
        <family val="0"/>
        <charset val="1"/>
      </rPr>
      <t xml:space="preserve">terminal </t>
    </r>
    <r>
      <rPr>
        <sz val="10"/>
        <rFont val="Noto Sans CJK SC"/>
        <family val="2"/>
      </rPr>
      <t xml:space="preserve">처리</t>
    </r>
  </si>
  <si>
    <r>
      <rPr>
        <sz val="10"/>
        <rFont val="Arial"/>
        <family val="0"/>
        <charset val="1"/>
      </rPr>
      <t xml:space="preserve">truncated </t>
    </r>
    <r>
      <rPr>
        <sz val="10"/>
        <rFont val="Noto Sans CJK SC"/>
        <family val="2"/>
      </rPr>
      <t xml:space="preserve">별도 처리</t>
    </r>
  </si>
  <si>
    <r>
      <rPr>
        <sz val="10"/>
        <rFont val="Arial"/>
        <family val="0"/>
        <charset val="1"/>
      </rPr>
      <t xml:space="preserve">value </t>
    </r>
    <r>
      <rPr>
        <sz val="10"/>
        <rFont val="Noto Sans CJK SC"/>
        <family val="2"/>
      </rPr>
      <t xml:space="preserve">편향</t>
    </r>
  </si>
  <si>
    <t xml:space="preserve">보상 스케일 변경</t>
  </si>
  <si>
    <r>
      <rPr>
        <sz val="10"/>
        <rFont val="Arial"/>
        <family val="0"/>
        <charset val="1"/>
      </rPr>
      <t xml:space="preserve">value target</t>
    </r>
    <r>
      <rPr>
        <sz val="10"/>
        <rFont val="Noto Sans CJK SC"/>
        <family val="2"/>
      </rPr>
      <t xml:space="preserve">도 변경</t>
    </r>
  </si>
  <si>
    <t xml:space="preserve">학습 안정성 재확인</t>
  </si>
  <si>
    <t xml:space="preserve">value loss·KL</t>
  </si>
  <si>
    <t xml:space="preserve">이어 학습</t>
  </si>
  <si>
    <r>
      <rPr>
        <sz val="10"/>
        <rFont val="Arial"/>
        <family val="0"/>
        <charset val="1"/>
      </rPr>
      <t xml:space="preserve">optimizer </t>
    </r>
    <r>
      <rPr>
        <sz val="10"/>
        <rFont val="Noto Sans CJK SC"/>
        <family val="2"/>
      </rPr>
      <t xml:space="preserve">상태 복원</t>
    </r>
  </si>
  <si>
    <t xml:space="preserve">설정 변경 반영 확인</t>
  </si>
  <si>
    <r>
      <rPr>
        <sz val="10"/>
        <rFont val="Noto Sans CJK SC"/>
        <family val="2"/>
      </rPr>
      <t xml:space="preserve">실제 </t>
    </r>
    <r>
      <rPr>
        <sz val="10"/>
        <rFont val="Arial"/>
        <family val="0"/>
        <charset val="1"/>
      </rPr>
      <t xml:space="preserve">lr </t>
    </r>
    <r>
      <rPr>
        <sz val="10"/>
        <rFont val="Noto Sans CJK SC"/>
        <family val="2"/>
      </rPr>
      <t xml:space="preserve">출력</t>
    </r>
  </si>
  <si>
    <t xml:space="preserve">좋은 정책 선택</t>
  </si>
  <si>
    <t xml:space="preserve">마지막 파일 아님</t>
  </si>
  <si>
    <t xml:space="preserve">고정 평가로 선택</t>
  </si>
  <si>
    <r>
      <rPr>
        <sz val="10"/>
        <rFont val="Noto Sans CJK SC"/>
        <family val="2"/>
      </rPr>
      <t xml:space="preserve">완주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충돌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시간</t>
    </r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</si>
  <si>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21] </t>
    </r>
    <r>
      <rPr>
        <b val="true"/>
        <sz val="14"/>
        <rFont val="Noto Sans CJK SC"/>
        <family val="2"/>
      </rPr>
      <t xml:space="preserve">학습 환경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실험 비교표</t>
    </r>
  </si>
  <si>
    <t xml:space="preserve">학습 목표 거리</t>
  </si>
  <si>
    <r>
      <rPr>
        <sz val="10"/>
        <rFont val="Noto Sans CJK SC"/>
        <family val="2"/>
      </rPr>
      <t xml:space="preserve">경로 </t>
    </r>
    <r>
      <rPr>
        <sz val="10"/>
        <rFont val="Arial"/>
        <family val="0"/>
        <charset val="1"/>
      </rPr>
      <t xml:space="preserve">±12</t>
    </r>
    <r>
      <rPr>
        <sz val="10"/>
        <rFont val="Noto Sans CJK SC"/>
        <family val="2"/>
      </rPr>
      <t xml:space="preserve">점</t>
    </r>
  </si>
  <si>
    <r>
      <rPr>
        <sz val="10"/>
        <rFont val="Noto Sans CJK SC"/>
        <family val="2"/>
      </rPr>
      <t xml:space="preserve">실패 많음</t>
    </r>
    <r>
      <rPr>
        <sz val="10"/>
        <rFont val="Arial"/>
        <family val="0"/>
        <charset val="1"/>
      </rPr>
      <t xml:space="preserve">: ±6</t>
    </r>
    <r>
      <rPr>
        <sz val="10"/>
        <rFont val="Noto Sans CJK SC"/>
        <family val="2"/>
      </rPr>
      <t xml:space="preserve">점</t>
    </r>
  </si>
  <si>
    <r>
      <rPr>
        <sz val="10"/>
        <rFont val="Noto Sans CJK SC"/>
        <family val="2"/>
      </rPr>
      <t xml:space="preserve">도달률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방향별 차이</t>
    </r>
  </si>
  <si>
    <t xml:space="preserve">시작 위치 오차</t>
  </si>
  <si>
    <t xml:space="preserve">XY ±0.05 m</t>
  </si>
  <si>
    <t xml:space="preserve">안정 후 단계 확대</t>
  </si>
  <si>
    <t xml:space="preserve">초기 위치의 벽 침범</t>
  </si>
  <si>
    <r>
      <rPr>
        <sz val="10"/>
        <rFont val="Arial"/>
        <family val="0"/>
        <charset val="1"/>
      </rPr>
      <t xml:space="preserve">episode </t>
    </r>
    <r>
      <rPr>
        <sz val="10"/>
        <rFont val="Noto Sans CJK SC"/>
        <family val="2"/>
      </rPr>
      <t xml:space="preserve">길이</t>
    </r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</si>
  <si>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초</t>
    </r>
  </si>
  <si>
    <t xml:space="preserve">도달 가능한 시간 확보</t>
  </si>
  <si>
    <r>
      <rPr>
        <sz val="10"/>
        <rFont val="Arial"/>
        <family val="0"/>
        <charset val="1"/>
      </rPr>
      <t xml:space="preserve">timeout </t>
    </r>
    <r>
      <rPr>
        <sz val="10"/>
        <rFont val="Noto Sans CJK SC"/>
        <family val="2"/>
      </rPr>
      <t xml:space="preserve">비중</t>
    </r>
  </si>
  <si>
    <t xml:space="preserve">병렬 환경</t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</si>
  <si>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</si>
  <si>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메모리 보며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</si>
  <si>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표본</t>
    </r>
    <r>
      <rPr>
        <sz val="10"/>
        <rFont val="Arial"/>
        <family val="0"/>
        <charset val="1"/>
      </rPr>
      <t xml:space="preserve">/s·</t>
    </r>
    <r>
      <rPr>
        <sz val="10"/>
        <rFont val="Noto Sans CJK SC"/>
        <family val="2"/>
      </rPr>
      <t xml:space="preserve">재현성</t>
    </r>
  </si>
  <si>
    <r>
      <rPr>
        <sz val="10"/>
        <rFont val="Arial"/>
        <family val="0"/>
        <charset val="1"/>
      </rPr>
      <t xml:space="preserve">A: </t>
    </r>
    <r>
      <rPr>
        <sz val="10"/>
        <rFont val="Noto Sans CJK SC"/>
        <family val="2"/>
      </rPr>
      <t xml:space="preserve">기준</t>
    </r>
  </si>
  <si>
    <r>
      <rPr>
        <sz val="10"/>
        <rFont val="Noto Sans CJK SC"/>
        <family val="2"/>
      </rPr>
      <t xml:space="preserve">진행 </t>
    </r>
    <r>
      <rPr>
        <sz val="10"/>
        <rFont val="Arial"/>
        <family val="0"/>
        <charset val="1"/>
      </rPr>
      <t xml:space="preserve">4 / </t>
    </r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.02</t>
    </r>
  </si>
  <si>
    <t xml:space="preserve">나머지 고정</t>
  </si>
  <si>
    <r>
      <rPr>
        <sz val="10"/>
        <rFont val="Noto Sans CJK SC"/>
        <family val="2"/>
      </rPr>
      <t xml:space="preserve">성공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충돌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시간</t>
    </r>
  </si>
  <si>
    <r>
      <rPr>
        <sz val="10"/>
        <rFont val="Arial"/>
        <family val="0"/>
        <charset val="1"/>
      </rPr>
      <t xml:space="preserve">B: </t>
    </r>
    <r>
      <rPr>
        <sz val="10"/>
        <rFont val="Noto Sans CJK SC"/>
        <family val="2"/>
      </rPr>
      <t xml:space="preserve">진행만 변경</t>
    </r>
  </si>
  <si>
    <r>
      <rPr>
        <sz val="10"/>
        <rFont val="Noto Sans CJK SC"/>
        <family val="2"/>
      </rPr>
      <t xml:space="preserve">진행 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</si>
  <si>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와 같은 </t>
    </r>
    <r>
      <rPr>
        <sz val="10"/>
        <rFont val="Arial"/>
        <family val="0"/>
        <charset val="1"/>
      </rPr>
      <t xml:space="preserve">seed</t>
    </r>
  </si>
  <si>
    <t xml:space="preserve">정체 개선 여부</t>
  </si>
  <si>
    <r>
      <rPr>
        <sz val="10"/>
        <rFont val="Arial"/>
        <family val="0"/>
        <charset val="1"/>
      </rPr>
      <t xml:space="preserve">C: </t>
    </r>
    <r>
      <rPr>
        <sz val="10"/>
        <rFont val="Noto Sans CJK SC"/>
        <family val="2"/>
      </rPr>
      <t xml:space="preserve">시간만 변경</t>
    </r>
  </si>
  <si>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.01</t>
    </r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</si>
  <si>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에서 다시 시작</t>
    </r>
  </si>
  <si>
    <t xml:space="preserve">충돌 감소 여부</t>
  </si>
  <si>
    <r>
      <rPr>
        <sz val="10"/>
        <rFont val="Arial"/>
        <family val="0"/>
        <charset val="1"/>
      </rPr>
      <t xml:space="preserve">D: </t>
    </r>
    <r>
      <rPr>
        <sz val="10"/>
        <rFont val="Noto Sans CJK SC"/>
        <family val="2"/>
      </rPr>
      <t xml:space="preserve">최종 후보</t>
    </r>
  </si>
  <si>
    <t xml:space="preserve">우수 설정 하나</t>
  </si>
  <si>
    <r>
      <rPr>
        <sz val="10"/>
        <rFont val="Noto Sans CJK SC"/>
        <family val="2"/>
      </rPr>
      <t xml:space="preserve">새 시작점</t>
    </r>
    <r>
      <rPr>
        <sz val="10"/>
        <rFont val="Arial"/>
        <family val="0"/>
        <charset val="1"/>
      </rPr>
      <t xml:space="preserve">·seed</t>
    </r>
  </si>
  <si>
    <t xml:space="preserve">일반화 성능</t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</si>
  <si>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22] </t>
    </r>
    <r>
      <rPr>
        <b val="true"/>
        <sz val="14"/>
        <rFont val="Noto Sans CJK SC"/>
        <family val="2"/>
      </rPr>
      <t xml:space="preserve">경로 예측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미리 보는 거리를 조정</t>
    </r>
  </si>
  <si>
    <r>
      <rPr>
        <b val="true"/>
        <sz val="10"/>
        <color rgb="FFFFFFFF"/>
        <rFont val="Noto Sans CJK SC"/>
        <family val="2"/>
      </rPr>
      <t xml:space="preserve">예측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조정 방법</t>
    </r>
  </si>
  <si>
    <t xml:space="preserve">수치 예시</t>
  </si>
  <si>
    <t xml:space="preserve">검증 기준</t>
  </si>
  <si>
    <t xml:space="preserve">빠른 직선 뒤 코너</t>
  </si>
  <si>
    <t xml:space="preserve">팔 회전시간만큼 앞보기</t>
  </si>
  <si>
    <r>
      <rPr>
        <sz val="10"/>
        <rFont val="Arial"/>
        <family val="0"/>
        <charset val="1"/>
      </rPr>
      <t xml:space="preserve">90°÷0.5 ≈ 3.14</t>
    </r>
    <r>
      <rPr>
        <sz val="10"/>
        <rFont val="Noto Sans CJK SC"/>
        <family val="2"/>
      </rPr>
      <t xml:space="preserve">초</t>
    </r>
  </si>
  <si>
    <t xml:space="preserve">코너 진입 전 관측</t>
  </si>
  <si>
    <r>
      <rPr>
        <sz val="10"/>
        <rFont val="Arial"/>
        <family val="0"/>
        <charset val="1"/>
      </rPr>
      <t xml:space="preserve">FOV </t>
    </r>
    <r>
      <rPr>
        <sz val="10"/>
        <rFont val="Noto Sans CJK SC"/>
        <family val="2"/>
      </rPr>
      <t xml:space="preserve">안에 방향 존재</t>
    </r>
  </si>
  <si>
    <r>
      <rPr>
        <sz val="10"/>
        <rFont val="Noto Sans CJK SC"/>
        <family val="2"/>
      </rPr>
      <t xml:space="preserve">필요 회전각에서 </t>
    </r>
    <r>
      <rPr>
        <sz val="10"/>
        <rFont val="Arial"/>
        <family val="0"/>
        <charset val="1"/>
      </rPr>
      <t xml:space="preserve">FOV </t>
    </r>
    <r>
      <rPr>
        <sz val="10"/>
        <rFont val="Noto Sans CJK SC"/>
        <family val="2"/>
      </rPr>
      <t xml:space="preserve">고려</t>
    </r>
  </si>
  <si>
    <r>
      <rPr>
        <sz val="10"/>
        <rFont val="Arial"/>
        <family val="0"/>
        <charset val="1"/>
      </rPr>
      <t xml:space="preserve">35° </t>
    </r>
    <r>
      <rPr>
        <sz val="10"/>
        <rFont val="Noto Sans CJK SC"/>
        <family val="2"/>
      </rPr>
      <t xml:space="preserve">이내면 전방 관측</t>
    </r>
  </si>
  <si>
    <r>
      <rPr>
        <sz val="10"/>
        <rFont val="Noto Sans CJK SC"/>
        <family val="2"/>
      </rPr>
      <t xml:space="preserve">가림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특징점은 별도</t>
    </r>
  </si>
  <si>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자 코너가 연속</t>
    </r>
  </si>
  <si>
    <t xml:space="preserve">다음 한 점만 보지 않기</t>
  </si>
  <si>
    <r>
      <rPr>
        <sz val="10"/>
        <rFont val="Noto Sans CJK SC"/>
        <family val="2"/>
      </rPr>
      <t xml:space="preserve">경로 방향열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곡률 확장</t>
    </r>
  </si>
  <si>
    <r>
      <rPr>
        <sz val="10"/>
        <rFont val="Noto Sans CJK SC"/>
        <family val="2"/>
      </rPr>
      <t xml:space="preserve">팔 왕복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추적 끊김</t>
    </r>
  </si>
  <si>
    <t xml:space="preserve">급정지 반복</t>
  </si>
  <si>
    <r>
      <rPr>
        <sz val="10"/>
        <rFont val="Arial"/>
        <family val="0"/>
        <charset val="1"/>
      </rPr>
      <t xml:space="preserve">preview·</t>
    </r>
    <r>
      <rPr>
        <sz val="10"/>
        <rFont val="Noto Sans CJK SC"/>
        <family val="2"/>
      </rPr>
      <t xml:space="preserve">제동 여유 공동 조정</t>
    </r>
  </si>
  <si>
    <r>
      <rPr>
        <sz val="10"/>
        <rFont val="Noto Sans CJK SC"/>
        <family val="2"/>
      </rPr>
      <t xml:space="preserve">시야 먼저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감속 병행</t>
    </r>
  </si>
  <si>
    <t xml:space="preserve">정지율과 완주 시간</t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</si>
  <si>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23] </t>
    </r>
    <r>
      <rPr>
        <b val="true"/>
        <sz val="14"/>
        <rFont val="Noto Sans CJK SC"/>
        <family val="2"/>
      </rPr>
      <t xml:space="preserve">보상 설계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빠르면서 안정적인 주행</t>
    </r>
  </si>
  <si>
    <t xml:space="preserve">증상</t>
  </si>
  <si>
    <r>
      <rPr>
        <b val="true"/>
        <sz val="10"/>
        <color rgb="FFFFFFFF"/>
        <rFont val="Noto Sans CJK SC"/>
        <family val="2"/>
      </rPr>
      <t xml:space="preserve">현재 보상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비용</t>
    </r>
  </si>
  <si>
    <t xml:space="preserve">비교할 변경 사례</t>
  </si>
  <si>
    <t xml:space="preserve">함께 볼 측정값</t>
  </si>
  <si>
    <t xml:space="preserve">가속 후 기울어짐</t>
  </si>
  <si>
    <r>
      <rPr>
        <sz val="10"/>
        <rFont val="Noto Sans CJK SC"/>
        <family val="2"/>
      </rPr>
      <t xml:space="preserve">기울기 비용 계수 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</si>
  <si>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2→4 / IMU </t>
    </r>
    <r>
      <rPr>
        <sz val="10"/>
        <rFont val="Noto Sans CJK SC"/>
        <family val="2"/>
      </rPr>
      <t xml:space="preserve">입력 유지</t>
    </r>
  </si>
  <si>
    <r>
      <rPr>
        <sz val="10"/>
        <rFont val="Noto Sans CJK SC"/>
        <family val="2"/>
      </rPr>
      <t xml:space="preserve">최대 경사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완주 시간</t>
    </r>
  </si>
  <si>
    <t xml:space="preserve">팔이 코너를 늦게 봄</t>
  </si>
  <si>
    <r>
      <rPr>
        <sz val="10"/>
        <rFont val="Arial"/>
        <family val="0"/>
        <charset val="1"/>
      </rPr>
      <t xml:space="preserve">yaw </t>
    </r>
    <r>
      <rPr>
        <sz val="10"/>
        <rFont val="Noto Sans CJK SC"/>
        <family val="2"/>
      </rPr>
      <t xml:space="preserve">오차감소 </t>
    </r>
    <r>
      <rPr>
        <sz val="10"/>
        <rFont val="Arial"/>
        <family val="0"/>
        <charset val="1"/>
      </rPr>
      <t xml:space="preserve">0.25</t>
    </r>
  </si>
  <si>
    <r>
      <rPr>
        <sz val="10"/>
        <rFont val="Arial"/>
        <family val="0"/>
        <charset val="1"/>
      </rPr>
      <t xml:space="preserve">0.25→0.5 </t>
    </r>
    <r>
      <rPr>
        <sz val="10"/>
        <rFont val="Noto Sans CJK SC"/>
        <family val="2"/>
      </rPr>
      <t xml:space="preserve">단독 비교</t>
    </r>
  </si>
  <si>
    <r>
      <rPr>
        <sz val="10"/>
        <rFont val="Noto Sans CJK SC"/>
        <family val="2"/>
      </rPr>
      <t xml:space="preserve">미관측 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정지율</t>
    </r>
  </si>
  <si>
    <t xml:space="preserve">가속 명령이 진동</t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</si>
  <si>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가속 행동 비용 </t>
    </r>
    <r>
      <rPr>
        <sz val="10"/>
        <rFont val="Arial"/>
        <family val="0"/>
        <charset val="1"/>
      </rPr>
      <t xml:space="preserve">0.01</t>
    </r>
  </si>
  <si>
    <r>
      <rPr>
        <sz val="10"/>
        <rFont val="Arial"/>
        <family val="0"/>
        <charset val="1"/>
      </rPr>
      <t xml:space="preserve">0.01→0.03 </t>
    </r>
    <r>
      <rPr>
        <sz val="10"/>
        <rFont val="Noto Sans CJK SC"/>
        <family val="2"/>
      </rPr>
      <t xml:space="preserve">비교</t>
    </r>
  </si>
  <si>
    <r>
      <rPr>
        <sz val="10"/>
        <rFont val="Arial"/>
        <family val="0"/>
        <charset val="1"/>
      </rPr>
      <t xml:space="preserve">jerk·</t>
    </r>
    <r>
      <rPr>
        <sz val="10"/>
        <rFont val="Noto Sans CJK SC"/>
        <family val="2"/>
      </rPr>
      <t xml:space="preserve">주행 시간</t>
    </r>
  </si>
  <si>
    <t xml:space="preserve">빠르지만 충돌</t>
  </si>
  <si>
    <r>
      <rPr>
        <sz val="10"/>
        <rFont val="Noto Sans CJK SC"/>
        <family val="2"/>
      </rPr>
      <t xml:space="preserve">실패 −</t>
    </r>
    <r>
      <rPr>
        <sz val="10"/>
        <rFont val="Arial"/>
        <family val="0"/>
        <charset val="1"/>
      </rPr>
      <t xml:space="preserve">5 / </t>
    </r>
    <r>
      <rPr>
        <sz val="10"/>
        <rFont val="Noto Sans CJK SC"/>
        <family val="2"/>
      </rPr>
      <t xml:space="preserve">진행 </t>
    </r>
    <r>
      <rPr>
        <sz val="10"/>
        <rFont val="Arial"/>
        <family val="0"/>
        <charset val="1"/>
      </rPr>
      <t xml:space="preserve">8Δs</t>
    </r>
  </si>
  <si>
    <r>
      <rPr>
        <sz val="10"/>
        <rFont val="Noto Sans CJK SC"/>
        <family val="2"/>
      </rPr>
      <t xml:space="preserve">실패 −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부터 비교</t>
    </r>
  </si>
  <si>
    <r>
      <rPr>
        <sz val="10"/>
        <rFont val="Noto Sans CJK SC"/>
        <family val="2"/>
      </rPr>
      <t xml:space="preserve">충돌률 먼저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이후 속도</t>
    </r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</si>
  <si>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24] </t>
    </r>
    <r>
      <rPr>
        <b val="true"/>
        <sz val="14"/>
        <rFont val="Noto Sans CJK SC"/>
        <family val="2"/>
      </rPr>
      <t xml:space="preserve">팔 카메라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보상 설계 사례</t>
    </r>
  </si>
  <si>
    <r>
      <rPr>
        <b val="true"/>
        <sz val="10"/>
        <color rgb="FFFFFFFF"/>
        <rFont val="Noto Sans CJK SC"/>
        <family val="2"/>
      </rPr>
      <t xml:space="preserve">설계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시작점</t>
    </r>
  </si>
  <si>
    <r>
      <rPr>
        <b val="true"/>
        <sz val="10"/>
        <color rgb="FFFFFFFF"/>
        <rFont val="Noto Sans CJK SC"/>
        <family val="2"/>
      </rPr>
      <t xml:space="preserve">조정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구현 방법</t>
    </r>
  </si>
  <si>
    <t xml:space="preserve">평가할 결과</t>
  </si>
  <si>
    <t xml:space="preserve">시야 확보 후 진행</t>
  </si>
  <si>
    <t xml:space="preserve">진행량에 가중치</t>
  </si>
  <si>
    <t xml:space="preserve">이동 가능할 때 지급</t>
  </si>
  <si>
    <t xml:space="preserve">멈춤 악용 방지</t>
  </si>
  <si>
    <t xml:space="preserve">카메라 방향 정렬</t>
  </si>
  <si>
    <r>
      <rPr>
        <sz val="10"/>
        <rFont val="Arial"/>
        <family val="0"/>
        <charset val="1"/>
      </rPr>
      <t xml:space="preserve">yaw </t>
    </r>
    <r>
      <rPr>
        <sz val="10"/>
        <rFont val="Noto Sans CJK SC"/>
        <family val="2"/>
      </rPr>
      <t xml:space="preserve">오차 감소</t>
    </r>
  </si>
  <si>
    <t xml:space="preserve">관측 품질과 결합</t>
  </si>
  <si>
    <r>
      <rPr>
        <sz val="10"/>
        <rFont val="Noto Sans CJK SC"/>
        <family val="2"/>
      </rPr>
      <t xml:space="preserve">정렬 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오차</t>
    </r>
  </si>
  <si>
    <t xml:space="preserve">시야 확인 보상</t>
  </si>
  <si>
    <r>
      <rPr>
        <sz val="10"/>
        <rFont val="Arial"/>
        <family val="0"/>
        <charset val="1"/>
      </rPr>
      <t xml:space="preserve">ready </t>
    </r>
    <r>
      <rPr>
        <sz val="10"/>
        <rFont val="Noto Sans CJK SC"/>
        <family val="2"/>
      </rPr>
      <t xml:space="preserve">상태</t>
    </r>
  </si>
  <si>
    <t xml:space="preserve">지속 지급 금지</t>
  </si>
  <si>
    <t xml:space="preserve">회전만 반복 방지</t>
  </si>
  <si>
    <t xml:space="preserve">시야 없는 이동</t>
  </si>
  <si>
    <r>
      <rPr>
        <sz val="10"/>
        <rFont val="Noto Sans CJK SC"/>
        <family val="2"/>
      </rPr>
      <t xml:space="preserve">속도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미관측</t>
    </r>
  </si>
  <si>
    <t xml:space="preserve">강한 감점</t>
  </si>
  <si>
    <t xml:space="preserve">실제 가시성 확인</t>
  </si>
  <si>
    <t xml:space="preserve">불필요한 회전</t>
  </si>
  <si>
    <r>
      <rPr>
        <sz val="10"/>
        <rFont val="Arial"/>
        <family val="0"/>
        <charset val="1"/>
      </rPr>
      <t xml:space="preserve">yaw </t>
    </r>
    <r>
      <rPr>
        <sz val="10"/>
        <rFont val="Noto Sans CJK SC"/>
        <family val="2"/>
      </rPr>
      <t xml:space="preserve">변화량</t>
    </r>
  </si>
  <si>
    <t xml:space="preserve">가중치 단계 증가</t>
  </si>
  <si>
    <r>
      <rPr>
        <sz val="10"/>
        <rFont val="Noto Sans CJK SC"/>
        <family val="2"/>
      </rPr>
      <t xml:space="preserve">정렬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정체 비교</t>
    </r>
  </si>
  <si>
    <t xml:space="preserve">추적 실패</t>
  </si>
  <si>
    <t xml:space="preserve">실패 이벤트</t>
  </si>
  <si>
    <t xml:space="preserve">복구와 종료 분리</t>
  </si>
  <si>
    <t xml:space="preserve">재획득 시간</t>
  </si>
  <si>
    <r>
      <rPr>
        <sz val="10"/>
        <rFont val="Noto Sans CJK SC"/>
        <family val="2"/>
      </rPr>
      <t xml:space="preserve">관절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충돌 한계</t>
    </r>
  </si>
  <si>
    <r>
      <rPr>
        <sz val="10"/>
        <rFont val="Noto Sans CJK SC"/>
        <family val="2"/>
      </rPr>
      <t xml:space="preserve">제한 위반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접촉</t>
    </r>
  </si>
  <si>
    <r>
      <rPr>
        <sz val="10"/>
        <rFont val="Noto Sans CJK SC"/>
        <family val="2"/>
      </rPr>
      <t xml:space="preserve">즉시 차단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감점</t>
    </r>
  </si>
  <si>
    <t xml:space="preserve">안전한 자세</t>
  </si>
  <si>
    <r>
      <rPr>
        <sz val="10"/>
        <rFont val="Noto Sans CJK SC"/>
        <family val="2"/>
      </rPr>
      <t xml:space="preserve">목표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종료</t>
    </r>
  </si>
  <si>
    <r>
      <rPr>
        <sz val="10"/>
        <rFont val="Noto Sans CJK SC"/>
        <family val="2"/>
      </rPr>
      <t xml:space="preserve">도착 </t>
    </r>
    <r>
      <rPr>
        <sz val="10"/>
        <rFont val="Arial"/>
        <family val="0"/>
        <charset val="1"/>
      </rPr>
      <t xml:space="preserve">+5 / </t>
    </r>
    <r>
      <rPr>
        <sz val="10"/>
        <rFont val="Noto Sans CJK SC"/>
        <family val="2"/>
      </rPr>
      <t xml:space="preserve">실패 −</t>
    </r>
    <r>
      <rPr>
        <sz val="10"/>
        <rFont val="Arial"/>
        <family val="0"/>
        <charset val="1"/>
      </rPr>
      <t xml:space="preserve">5</t>
    </r>
  </si>
  <si>
    <t xml:space="preserve">중복 지급 방지</t>
  </si>
  <si>
    <t xml:space="preserve">도착 판정 일치</t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</si>
  <si>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25] </t>
    </r>
    <r>
      <rPr>
        <b val="true"/>
        <sz val="14"/>
        <rFont val="Noto Sans CJK SC"/>
        <family val="2"/>
      </rPr>
      <t xml:space="preserve">팔 카메라</t>
    </r>
    <r>
      <rPr>
        <b val="true"/>
        <sz val="14"/>
        <rFont val="Arial"/>
        <family val="0"/>
        <charset val="1"/>
      </rPr>
      <t xml:space="preserve">: PPO </t>
    </r>
    <r>
      <rPr>
        <b val="true"/>
        <sz val="14"/>
        <rFont val="Noto Sans CJK SC"/>
        <family val="2"/>
      </rPr>
      <t xml:space="preserve">설정과 조정 사례</t>
    </r>
  </si>
  <si>
    <r>
      <rPr>
        <b val="true"/>
        <sz val="10"/>
        <color rgb="FFFFFFFF"/>
        <rFont val="Noto Sans CJK SC"/>
        <family val="2"/>
      </rPr>
      <t xml:space="preserve">항목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상황</t>
    </r>
  </si>
  <si>
    <r>
      <rPr>
        <b val="true"/>
        <sz val="10"/>
        <color rgb="FFFFFFFF"/>
        <rFont val="Noto Sans CJK SC"/>
        <family val="2"/>
      </rPr>
      <t xml:space="preserve">실제 설정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결과</t>
    </r>
  </si>
  <si>
    <r>
      <rPr>
        <b val="true"/>
        <sz val="10"/>
        <color rgb="FFFFFFFF"/>
        <rFont val="Noto Sans CJK SC"/>
        <family val="2"/>
      </rPr>
      <t xml:space="preserve">해석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주의점</t>
    </r>
  </si>
  <si>
    <r>
      <rPr>
        <sz val="10"/>
        <rFont val="Noto Sans CJK SC"/>
        <family val="2"/>
      </rPr>
      <t xml:space="preserve">학습률 </t>
    </r>
    <r>
      <rPr>
        <sz val="10"/>
        <rFont val="Arial"/>
        <family val="0"/>
        <charset val="1"/>
      </rPr>
      <t xml:space="preserve">/ clip</t>
    </r>
  </si>
  <si>
    <t xml:space="preserve">3e−4 / 0.2</t>
  </si>
  <si>
    <r>
      <rPr>
        <sz val="10"/>
        <rFont val="Noto Sans CJK SC"/>
        <family val="2"/>
      </rPr>
      <t xml:space="preserve">진동</t>
    </r>
    <r>
      <rPr>
        <sz val="10"/>
        <rFont val="Arial"/>
        <family val="0"/>
        <charset val="1"/>
      </rPr>
      <t xml:space="preserve">·KL </t>
    </r>
    <r>
      <rPr>
        <sz val="10"/>
        <rFont val="Noto Sans CJK SC"/>
        <family val="2"/>
      </rPr>
      <t xml:space="preserve">증가면 </t>
    </r>
    <r>
      <rPr>
        <sz val="10"/>
        <rFont val="Arial"/>
        <family val="0"/>
        <charset val="1"/>
      </rPr>
      <t xml:space="preserve">lr↓</t>
    </r>
  </si>
  <si>
    <t xml:space="preserve">다른 항은 고정 비교</t>
  </si>
  <si>
    <t xml:space="preserve">gamma / lambda</t>
  </si>
  <si>
    <t xml:space="preserve">0.99 / 0.95</t>
  </si>
  <si>
    <r>
      <rPr>
        <sz val="10"/>
        <rFont val="Noto Sans CJK SC"/>
        <family val="2"/>
      </rPr>
      <t xml:space="preserve">긴 대기면 </t>
    </r>
    <r>
      <rPr>
        <sz val="10"/>
        <rFont val="Arial"/>
        <family val="0"/>
        <charset val="1"/>
      </rPr>
      <t xml:space="preserve">.995 </t>
    </r>
    <r>
      <rPr>
        <sz val="10"/>
        <rFont val="Noto Sans CJK SC"/>
        <family val="2"/>
      </rPr>
      <t xml:space="preserve">비교</t>
    </r>
  </si>
  <si>
    <r>
      <rPr>
        <sz val="10"/>
        <rFont val="Noto Sans CJK SC"/>
        <family val="2"/>
      </rPr>
      <t xml:space="preserve">이번 결과는 </t>
    </r>
    <r>
      <rPr>
        <sz val="10"/>
        <rFont val="Arial"/>
        <family val="0"/>
        <charset val="1"/>
      </rPr>
      <t xml:space="preserve">.99</t>
    </r>
  </si>
  <si>
    <t xml:space="preserve">rollout / batch</t>
  </si>
  <si>
    <t xml:space="preserve">128×16 = 2,048</t>
  </si>
  <si>
    <t xml:space="preserve">minibatch256 / epoch4</t>
  </si>
  <si>
    <r>
      <rPr>
        <sz val="10"/>
        <rFont val="Noto Sans CJK SC"/>
        <family val="2"/>
      </rPr>
      <t xml:space="preserve">업데이트당 </t>
    </r>
    <r>
      <rPr>
        <sz val="10"/>
        <rFont val="Arial"/>
        <family val="0"/>
        <charset val="1"/>
      </rPr>
      <t xml:space="preserve">32 batch</t>
    </r>
  </si>
  <si>
    <r>
      <rPr>
        <sz val="10"/>
        <rFont val="Noto Sans CJK SC"/>
        <family val="2"/>
      </rPr>
      <t xml:space="preserve">손실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신경망</t>
    </r>
  </si>
  <si>
    <t xml:space="preserve">value0.5 / entropy0.005</t>
  </si>
  <si>
    <t xml:space="preserve">64–64 Tanh / grad clip1</t>
  </si>
  <si>
    <r>
      <rPr>
        <sz val="10"/>
        <rFont val="Arial"/>
        <family val="0"/>
        <charset val="1"/>
      </rPr>
      <t xml:space="preserve">std</t>
    </r>
    <r>
      <rPr>
        <sz val="10"/>
        <rFont val="Noto Sans CJK SC"/>
        <family val="2"/>
      </rPr>
      <t xml:space="preserve">는 학습됨</t>
    </r>
  </si>
  <si>
    <t xml:space="preserve">정렬을 기다리지 못함</t>
  </si>
  <si>
    <r>
      <rPr>
        <sz val="10"/>
        <rFont val="Arial"/>
        <family val="0"/>
        <charset val="1"/>
      </rPr>
      <t xml:space="preserve">episode 8 → 16</t>
    </r>
    <r>
      <rPr>
        <sz val="10"/>
        <rFont val="Noto Sans CJK SC"/>
        <family val="2"/>
      </rPr>
      <t xml:space="preserve">초</t>
    </r>
  </si>
  <si>
    <t xml:space="preserve">정렬 소요시간부터 측정</t>
  </si>
  <si>
    <r>
      <rPr>
        <sz val="10"/>
        <rFont val="Arial"/>
        <family val="0"/>
        <charset val="1"/>
      </rPr>
      <t xml:space="preserve">timeout </t>
    </r>
    <r>
      <rPr>
        <sz val="10"/>
        <rFont val="Noto Sans CJK SC"/>
        <family val="2"/>
      </rPr>
      <t xml:space="preserve">비율</t>
    </r>
  </si>
  <si>
    <t xml:space="preserve">팔이 급하게 흔들림</t>
  </si>
  <si>
    <r>
      <rPr>
        <sz val="10"/>
        <rFont val="Noto Sans CJK SC"/>
        <family val="2"/>
      </rPr>
      <t xml:space="preserve">팔 </t>
    </r>
    <r>
      <rPr>
        <sz val="10"/>
        <rFont val="Arial"/>
        <family val="0"/>
        <charset val="1"/>
      </rPr>
      <t xml:space="preserve">action </t>
    </r>
    <r>
      <rPr>
        <sz val="10"/>
        <rFont val="Noto Sans CJK SC"/>
        <family val="2"/>
      </rPr>
      <t xml:space="preserve">범위 축소</t>
    </r>
  </si>
  <si>
    <r>
      <rPr>
        <sz val="10"/>
        <rFont val="Arial"/>
        <family val="0"/>
        <charset val="1"/>
      </rPr>
      <t xml:space="preserve">lr 3e−4 → 1e−4 </t>
    </r>
    <r>
      <rPr>
        <sz val="10"/>
        <rFont val="Noto Sans CJK SC"/>
        <family val="2"/>
      </rPr>
      <t xml:space="preserve">비교</t>
    </r>
  </si>
  <si>
    <r>
      <rPr>
        <sz val="10"/>
        <rFont val="Noto Sans CJK SC"/>
        <family val="2"/>
      </rPr>
      <t xml:space="preserve">속도</t>
    </r>
    <r>
      <rPr>
        <sz val="10"/>
        <rFont val="Arial"/>
        <family val="0"/>
        <charset val="1"/>
      </rPr>
      <t xml:space="preserve">·KL·</t>
    </r>
    <r>
      <rPr>
        <sz val="10"/>
        <rFont val="Noto Sans CJK SC"/>
        <family val="2"/>
      </rPr>
      <t xml:space="preserve">추적률</t>
    </r>
  </si>
  <si>
    <t xml:space="preserve">긴 대기 뒤 성과</t>
  </si>
  <si>
    <t xml:space="preserve">rollout 64 → 128</t>
  </si>
  <si>
    <r>
      <rPr>
        <sz val="10"/>
        <rFont val="Arial"/>
        <family val="0"/>
        <charset val="1"/>
      </rPr>
      <t xml:space="preserve">gamma .99 → .995 </t>
    </r>
    <r>
      <rPr>
        <sz val="10"/>
        <rFont val="Noto Sans CJK SC"/>
        <family val="2"/>
      </rPr>
      <t xml:space="preserve">별도</t>
    </r>
  </si>
  <si>
    <r>
      <rPr>
        <sz val="10"/>
        <rFont val="Arial"/>
        <family val="0"/>
        <charset val="1"/>
      </rPr>
      <t xml:space="preserve">advantage·value </t>
    </r>
    <r>
      <rPr>
        <sz val="10"/>
        <rFont val="Noto Sans CJK SC"/>
        <family val="2"/>
      </rPr>
      <t xml:space="preserve">오차</t>
    </r>
  </si>
  <si>
    <t xml:space="preserve">안전 정지만 학습</t>
  </si>
  <si>
    <r>
      <rPr>
        <sz val="10"/>
        <rFont val="Noto Sans CJK SC"/>
        <family val="2"/>
      </rPr>
      <t xml:space="preserve">단계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부터 재학습</t>
    </r>
  </si>
  <si>
    <r>
      <rPr>
        <sz val="10"/>
        <rFont val="Arial"/>
        <family val="0"/>
        <charset val="1"/>
      </rPr>
      <t xml:space="preserve">ready </t>
    </r>
    <r>
      <rPr>
        <sz val="10"/>
        <rFont val="Noto Sans CJK SC"/>
        <family val="2"/>
      </rPr>
      <t xml:space="preserve">반복보상 제거</t>
    </r>
  </si>
  <si>
    <r>
      <rPr>
        <sz val="10"/>
        <rFont val="Noto Sans CJK SC"/>
        <family val="2"/>
      </rPr>
      <t xml:space="preserve">정렬률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주행 성공률</t>
    </r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</si>
  <si>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26] </t>
    </r>
    <r>
      <rPr>
        <b val="true"/>
        <sz val="14"/>
        <rFont val="Noto Sans CJK SC"/>
        <family val="2"/>
      </rPr>
      <t xml:space="preserve">팔 회전 범위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근거와 적용 범위</t>
    </r>
  </si>
  <si>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±0.35 rad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</si>
  <si>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±20° </t>
    </r>
    <r>
      <rPr>
        <sz val="10"/>
        <rFont val="Noto Sans CJK SC"/>
        <family val="2"/>
      </rPr>
      <t xml:space="preserve">시험 창</t>
    </r>
  </si>
  <si>
    <t xml:space="preserve">기계 한계로 해석 금지</t>
  </si>
  <si>
    <r>
      <rPr>
        <sz val="10"/>
        <rFont val="Arial"/>
        <family val="0"/>
        <charset val="1"/>
      </rPr>
      <t xml:space="preserve">CAD </t>
    </r>
    <r>
      <rPr>
        <sz val="10"/>
        <rFont val="Noto Sans CJK SC"/>
        <family val="2"/>
      </rPr>
      <t xml:space="preserve">검증용 임시값</t>
    </r>
  </si>
  <si>
    <r>
      <rPr>
        <sz val="10"/>
        <rFont val="Noto Sans CJK SC"/>
        <family val="2"/>
      </rPr>
      <t xml:space="preserve">팔 기저 </t>
    </r>
    <r>
      <rPr>
        <sz val="10"/>
        <rFont val="Arial"/>
        <family val="0"/>
        <charset val="1"/>
      </rPr>
      <t xml:space="preserve">yaw</t>
    </r>
  </si>
  <si>
    <r>
      <rPr>
        <sz val="10"/>
        <rFont val="Noto Sans CJK SC"/>
        <family val="2"/>
      </rPr>
      <t xml:space="preserve">공식 </t>
    </r>
    <r>
      <rPr>
        <sz val="10"/>
        <rFont val="Arial"/>
        <family val="0"/>
        <charset val="1"/>
      </rPr>
      <t xml:space="preserve">OMX: ±180°</t>
    </r>
  </si>
  <si>
    <r>
      <rPr>
        <sz val="10"/>
        <rFont val="Noto Sans CJK SC"/>
        <family val="2"/>
      </rPr>
      <t xml:space="preserve">시연 자산 </t>
    </r>
    <r>
      <rPr>
        <sz val="10"/>
        <rFont val="Arial"/>
        <family val="0"/>
        <charset val="1"/>
      </rPr>
      <t xml:space="preserve">joint1 </t>
    </r>
    <r>
      <rPr>
        <sz val="10"/>
        <rFont val="Noto Sans CJK SC"/>
        <family val="2"/>
      </rPr>
      <t xml:space="preserve">적용</t>
    </r>
  </si>
  <si>
    <t xml:space="preserve">배선 한계는 별도</t>
  </si>
  <si>
    <r>
      <rPr>
        <sz val="10"/>
        <rFont val="Noto Sans CJK SC"/>
        <family val="2"/>
      </rPr>
      <t xml:space="preserve">나머지 팔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축</t>
    </r>
  </si>
  <si>
    <r>
      <rPr>
        <sz val="10"/>
        <rFont val="Noto Sans CJK SC"/>
        <family val="2"/>
      </rPr>
      <t xml:space="preserve">이번 학습에서는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고정</t>
    </r>
  </si>
  <si>
    <r>
      <rPr>
        <sz val="10"/>
        <rFont val="Noto Sans CJK SC"/>
        <family val="2"/>
      </rPr>
      <t xml:space="preserve">사용자 정의 </t>
    </r>
    <r>
      <rPr>
        <sz val="10"/>
        <rFont val="Arial"/>
        <family val="0"/>
        <charset val="1"/>
      </rPr>
      <t xml:space="preserve">wrist </t>
    </r>
    <r>
      <rPr>
        <sz val="10"/>
        <rFont val="Noto Sans CJK SC"/>
        <family val="2"/>
      </rPr>
      <t xml:space="preserve">포함</t>
    </r>
  </si>
  <si>
    <t xml:space="preserve">순정 범위 복사 금지</t>
  </si>
  <si>
    <r>
      <rPr>
        <sz val="10"/>
        <rFont val="Arial"/>
        <family val="0"/>
        <charset val="1"/>
      </rPr>
      <t xml:space="preserve">CAD yaw </t>
    </r>
    <r>
      <rPr>
        <sz val="10"/>
        <rFont val="Noto Sans CJK SC"/>
        <family val="2"/>
      </rPr>
      <t xml:space="preserve">검사</t>
    </r>
  </si>
  <si>
    <r>
      <rPr>
        <sz val="10"/>
        <rFont val="Arial"/>
        <family val="0"/>
        <charset val="1"/>
      </rPr>
      <t xml:space="preserve">361</t>
    </r>
    <r>
      <rPr>
        <sz val="10"/>
        <rFont val="Noto Sans CJK SC"/>
        <family val="2"/>
      </rPr>
      <t xml:space="preserve">자세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검출 간섭 </t>
    </r>
    <r>
      <rPr>
        <sz val="10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</si>
  <si>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베이스↔팔 </t>
    </r>
    <r>
      <rPr>
        <sz val="10"/>
        <rFont val="Arial"/>
        <family val="0"/>
        <charset val="1"/>
      </rPr>
      <t xml:space="preserve">link2~5</t>
    </r>
  </si>
  <si>
    <r>
      <rPr>
        <sz val="10"/>
        <rFont val="Noto Sans CJK SC"/>
        <family val="2"/>
      </rPr>
      <t xml:space="preserve">배선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동적 충돌 제외</t>
    </r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</si>
  <si>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32] cuVSLAM: </t>
    </r>
    <r>
      <rPr>
        <b val="true"/>
        <sz val="14"/>
        <rFont val="Noto Sans CJK SC"/>
        <family val="2"/>
      </rPr>
      <t xml:space="preserve">최종 </t>
    </r>
    <r>
      <rPr>
        <b val="true"/>
        <sz val="14"/>
        <rFont val="Arial"/>
        <family val="0"/>
        <charset val="1"/>
      </rPr>
      <t xml:space="preserve">RGBD </t>
    </r>
    <r>
      <rPr>
        <b val="true"/>
        <sz val="14"/>
        <rFont val="Noto Sans CJK SC"/>
        <family val="2"/>
      </rPr>
      <t xml:space="preserve">설정과 토픽</t>
    </r>
  </si>
  <si>
    <r>
      <rPr>
        <b val="true"/>
        <sz val="10"/>
        <color rgb="FFFFFFFF"/>
        <rFont val="Noto Sans CJK SC"/>
        <family val="2"/>
      </rPr>
      <t xml:space="preserve">설정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점검 항목</t>
    </r>
  </si>
  <si>
    <t xml:space="preserve">슬라이드 예시 값</t>
  </si>
  <si>
    <t xml:space="preserve">우리 값</t>
  </si>
  <si>
    <t xml:space="preserve">확인 결과</t>
  </si>
  <si>
    <r>
      <rPr>
        <b val="true"/>
        <sz val="10"/>
        <color rgb="FFFFFFFF"/>
        <rFont val="Noto Sans CJK SC"/>
        <family val="2"/>
      </rPr>
      <t xml:space="preserve">근거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로그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명령 출력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</si>
  <si>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tracking_mode</t>
  </si>
  <si>
    <t xml:space="preserve">2 (RGBD)</t>
  </si>
  <si>
    <t xml:space="preserve">rectified_images</t>
  </si>
  <si>
    <t xml:space="preserve">true</t>
  </si>
  <si>
    <t xml:space="preserve">depth_scale_factor</t>
  </si>
  <si>
    <t xml:space="preserve">1000</t>
  </si>
  <si>
    <t xml:space="preserve">depth_enable_stereo_tracking</t>
  </si>
  <si>
    <t xml:space="preserve">enable_imu_fusion</t>
  </si>
  <si>
    <t xml:space="preserve">false</t>
  </si>
  <si>
    <t xml:space="preserve">base_frame</t>
  </si>
  <si>
    <t xml:space="preserve">camera_rig</t>
  </si>
  <si>
    <t xml:space="preserve">입력 토픽</t>
  </si>
  <si>
    <r>
      <rPr>
        <sz val="10"/>
        <rFont val="Noto Sans CJK SC"/>
        <family val="2"/>
      </rPr>
      <t xml:space="preserve">좌우 </t>
    </r>
    <r>
      <rPr>
        <sz val="10"/>
        <rFont val="Arial"/>
        <family val="0"/>
        <charset val="1"/>
      </rPr>
      <t xml:space="preserve">RGB + CameraInfo + depth</t>
    </r>
  </si>
  <si>
    <t xml:space="preserve">깊이 토픽</t>
  </si>
  <si>
    <t xml:space="preserve">/arm_stereo/left/depth</t>
  </si>
  <si>
    <t xml:space="preserve">깊이 형식</t>
  </si>
  <si>
    <r>
      <rPr>
        <sz val="10"/>
        <rFont val="Arial"/>
        <family val="0"/>
        <charset val="1"/>
      </rPr>
      <t xml:space="preserve">16UC1, mm </t>
    </r>
    <r>
      <rPr>
        <sz val="10"/>
        <rFont val="Noto Sans CJK SC"/>
        <family val="2"/>
      </rPr>
      <t xml:space="preserve">단위</t>
    </r>
  </si>
  <si>
    <r>
      <rPr>
        <sz val="10"/>
        <rFont val="Noto Sans CJK SC"/>
        <family val="2"/>
      </rPr>
      <t xml:space="preserve">팔 </t>
    </r>
    <r>
      <rPr>
        <sz val="10"/>
        <rFont val="Arial"/>
        <family val="0"/>
        <charset val="1"/>
      </rPr>
      <t xml:space="preserve">FK </t>
    </r>
    <r>
      <rPr>
        <sz val="10"/>
        <rFont val="Noto Sans CJK SC"/>
        <family val="2"/>
      </rPr>
      <t xml:space="preserve">시각</t>
    </r>
  </si>
  <si>
    <r>
      <rPr>
        <sz val="10"/>
        <rFont val="Noto Sans CJK SC"/>
        <family val="2"/>
      </rPr>
      <t xml:space="preserve">영상과 같은 시각의 팔 </t>
    </r>
    <r>
      <rPr>
        <sz val="10"/>
        <rFont val="Arial"/>
        <family val="0"/>
        <charset val="1"/>
      </rPr>
      <t xml:space="preserve">FK </t>
    </r>
    <r>
      <rPr>
        <sz val="10"/>
        <rFont val="Noto Sans CJK SC"/>
        <family val="2"/>
      </rPr>
      <t xml:space="preserve">사용</t>
    </r>
  </si>
  <si>
    <t xml:space="preserve">좌우 영상</t>
  </si>
  <si>
    <r>
      <rPr>
        <sz val="10"/>
        <rFont val="Noto Sans CJK SC"/>
        <family val="2"/>
      </rPr>
      <t xml:space="preserve">좌우 동기</t>
    </r>
    <r>
      <rPr>
        <sz val="10"/>
        <rFont val="Arial"/>
        <family val="0"/>
        <charset val="1"/>
      </rPr>
      <t xml:space="preserve">·intrinsic·baseline </t>
    </r>
    <r>
      <rPr>
        <sz val="10"/>
        <rFont val="Noto Sans CJK SC"/>
        <family val="2"/>
      </rPr>
      <t xml:space="preserve">확인</t>
    </r>
  </si>
  <si>
    <t xml:space="preserve">노드 점검</t>
  </si>
  <si>
    <t xml:space="preserve">ros2 node info /visual_slam</t>
  </si>
  <si>
    <t xml:space="preserve">TF·clock</t>
  </si>
  <si>
    <t xml:space="preserve">발행자 중복 제거</t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</si>
  <si>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33] cuVSLAM: </t>
    </r>
    <r>
      <rPr>
        <b val="true"/>
        <sz val="14"/>
        <rFont val="Noto Sans CJK SC"/>
        <family val="2"/>
      </rPr>
      <t xml:space="preserve">조정과 수정의 구분</t>
    </r>
  </si>
  <si>
    <t xml:space="preserve">영상이 뒤틀림</t>
  </si>
  <si>
    <t xml:space="preserve">K·D·R·P</t>
  </si>
  <si>
    <t xml:space="preserve">보정값 수정</t>
  </si>
  <si>
    <t xml:space="preserve">수평 에피폴라</t>
  </si>
  <si>
    <r>
      <rPr>
        <sz val="10"/>
        <rFont val="Noto Sans CJK SC"/>
        <family val="2"/>
      </rPr>
      <t xml:space="preserve">노출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무늬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동기</t>
    </r>
  </si>
  <si>
    <t xml:space="preserve">입력 품질부터</t>
  </si>
  <si>
    <r>
      <rPr>
        <sz val="10"/>
        <rFont val="Noto Sans CJK SC"/>
        <family val="2"/>
      </rPr>
      <t xml:space="preserve">추적률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지연</t>
    </r>
  </si>
  <si>
    <t xml:space="preserve">위치 축이 틀림</t>
  </si>
  <si>
    <t xml:space="preserve">optical TF</t>
  </si>
  <si>
    <r>
      <rPr>
        <sz val="10"/>
        <rFont val="Noto Sans CJK SC"/>
        <family val="2"/>
      </rPr>
      <t xml:space="preserve">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외부보정 수정</t>
    </r>
  </si>
  <si>
    <r>
      <rPr>
        <sz val="10"/>
        <rFont val="Noto Sans CJK SC"/>
        <family val="2"/>
      </rPr>
      <t xml:space="preserve">직진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회전 방향</t>
    </r>
  </si>
  <si>
    <r>
      <rPr>
        <sz val="10"/>
        <rFont val="Arial"/>
        <family val="0"/>
        <charset val="1"/>
      </rPr>
      <t xml:space="preserve">IMU</t>
    </r>
    <r>
      <rPr>
        <sz val="10"/>
        <rFont val="Noto Sans CJK SC"/>
        <family val="2"/>
      </rPr>
      <t xml:space="preserve">를 추가함</t>
    </r>
  </si>
  <si>
    <t xml:space="preserve">fusion=false</t>
  </si>
  <si>
    <r>
      <rPr>
        <sz val="10"/>
        <rFont val="Noto Sans CJK SC"/>
        <family val="2"/>
      </rPr>
      <t xml:space="preserve">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외부보정 후 </t>
    </r>
    <r>
      <rPr>
        <sz val="10"/>
        <rFont val="Arial"/>
        <family val="0"/>
        <charset val="1"/>
      </rPr>
      <t xml:space="preserve">on</t>
    </r>
  </si>
  <si>
    <r>
      <rPr>
        <sz val="10"/>
        <rFont val="Noto Sans CJK SC"/>
        <family val="2"/>
      </rPr>
      <t xml:space="preserve">드리프트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안정성</t>
    </r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</si>
  <si>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35] </t>
    </r>
    <r>
      <rPr>
        <b val="true"/>
        <sz val="14"/>
        <rFont val="Noto Sans CJK SC"/>
        <family val="2"/>
      </rPr>
      <t xml:space="preserve">센서 입력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엔코더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카메라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두 </t>
    </r>
    <r>
      <rPr>
        <b val="true"/>
        <sz val="14"/>
        <rFont val="Arial"/>
        <family val="0"/>
        <charset val="1"/>
      </rPr>
      <t xml:space="preserve">OpenCR</t>
    </r>
  </si>
  <si>
    <r>
      <rPr>
        <b val="true"/>
        <sz val="10"/>
        <color rgb="FFFFFFFF"/>
        <rFont val="Noto Sans CJK SC"/>
        <family val="2"/>
      </rPr>
      <t xml:space="preserve">입력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항목</t>
    </r>
  </si>
  <si>
    <r>
      <rPr>
        <b val="true"/>
        <sz val="10"/>
        <color rgb="FFFFFFFF"/>
        <rFont val="Noto Sans CJK SC"/>
        <family val="2"/>
      </rPr>
      <t xml:space="preserve">구성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공식 설정</t>
    </r>
  </si>
  <si>
    <t xml:space="preserve">사용 방법</t>
  </si>
  <si>
    <t xml:space="preserve">확인 기준</t>
  </si>
  <si>
    <r>
      <rPr>
        <sz val="10"/>
        <rFont val="Noto Sans CJK SC"/>
        <family val="2"/>
      </rPr>
      <t xml:space="preserve">이중 </t>
    </r>
    <r>
      <rPr>
        <sz val="10"/>
        <rFont val="Arial"/>
        <family val="0"/>
        <charset val="1"/>
      </rPr>
      <t xml:space="preserve">IMU</t>
    </r>
  </si>
  <si>
    <t xml:space="preserve">PhysX → ADC → ROS</t>
  </si>
  <si>
    <r>
      <rPr>
        <sz val="10"/>
        <rFont val="Arial"/>
        <family val="0"/>
        <charset val="1"/>
      </rPr>
      <t xml:space="preserve">200 Hz / </t>
    </r>
    <r>
      <rPr>
        <sz val="10"/>
        <rFont val="Noto Sans CJK SC"/>
        <family val="2"/>
      </rPr>
      <t xml:space="preserve">보드 축</t>
    </r>
  </si>
  <si>
    <t xml:space="preserve">레버암 포함</t>
  </si>
  <si>
    <r>
      <rPr>
        <sz val="10"/>
        <rFont val="Noto Sans CJK SC"/>
        <family val="2"/>
      </rPr>
      <t xml:space="preserve">엔코더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축</t>
    </r>
  </si>
  <si>
    <t xml:space="preserve">unwrap → count</t>
  </si>
  <si>
    <r>
      <rPr>
        <sz val="10"/>
        <rFont val="Arial"/>
        <family val="0"/>
        <charset val="1"/>
      </rPr>
      <t xml:space="preserve">200 Hz / 30 ms </t>
    </r>
    <r>
      <rPr>
        <sz val="10"/>
        <rFont val="Noto Sans CJK SC"/>
        <family val="2"/>
      </rPr>
      <t xml:space="preserve">창</t>
    </r>
  </si>
  <si>
    <r>
      <rPr>
        <sz val="10"/>
        <rFont val="Noto Sans CJK SC"/>
        <family val="2"/>
      </rPr>
      <t xml:space="preserve">래핑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진동 제거</t>
    </r>
  </si>
  <si>
    <t xml:space="preserve">팔 스테레오</t>
  </si>
  <si>
    <r>
      <rPr>
        <sz val="10"/>
        <rFont val="Arial"/>
        <family val="0"/>
        <charset val="1"/>
      </rPr>
      <t xml:space="preserve">RGB·</t>
    </r>
    <r>
      <rPr>
        <sz val="10"/>
        <rFont val="Noto Sans CJK SC"/>
        <family val="2"/>
      </rPr>
      <t xml:space="preserve">깊이</t>
    </r>
    <r>
      <rPr>
        <sz val="10"/>
        <rFont val="Arial"/>
        <family val="0"/>
        <charset val="1"/>
      </rPr>
      <t xml:space="preserve">·FK</t>
    </r>
  </si>
  <si>
    <t xml:space="preserve">동일 촬영 시각</t>
  </si>
  <si>
    <r>
      <rPr>
        <sz val="10"/>
        <rFont val="Noto Sans CJK SC"/>
        <family val="2"/>
      </rPr>
      <t xml:space="preserve">최신 </t>
    </r>
    <r>
      <rPr>
        <sz val="10"/>
        <rFont val="Arial"/>
        <family val="0"/>
        <charset val="1"/>
      </rPr>
      <t xml:space="preserve">FK </t>
    </r>
    <r>
      <rPr>
        <sz val="10"/>
        <rFont val="Noto Sans CJK SC"/>
        <family val="2"/>
      </rPr>
      <t xml:space="preserve">혼용 금지</t>
    </r>
  </si>
  <si>
    <t xml:space="preserve">비동기 실행</t>
  </si>
  <si>
    <r>
      <rPr>
        <sz val="10"/>
        <rFont val="Arial"/>
        <family val="0"/>
        <charset val="1"/>
      </rPr>
      <t xml:space="preserve">CPU </t>
    </r>
    <r>
      <rPr>
        <sz val="10"/>
        <rFont val="Noto Sans CJK SC"/>
        <family val="2"/>
      </rPr>
      <t xml:space="preserve">물리</t>
    </r>
    <r>
      <rPr>
        <sz val="10"/>
        <rFont val="Arial"/>
        <family val="0"/>
        <charset val="1"/>
      </rPr>
      <t xml:space="preserve">·GPU </t>
    </r>
    <r>
      <rPr>
        <sz val="10"/>
        <rFont val="Noto Sans CJK SC"/>
        <family val="2"/>
      </rPr>
      <t xml:space="preserve">영상</t>
    </r>
  </si>
  <si>
    <r>
      <rPr>
        <sz val="10"/>
        <rFont val="Arial"/>
        <family val="0"/>
        <charset val="1"/>
      </rPr>
      <t xml:space="preserve">clock </t>
    </r>
    <r>
      <rPr>
        <sz val="10"/>
        <rFont val="Noto Sans CJK SC"/>
        <family val="2"/>
      </rPr>
      <t xml:space="preserve">발행자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</si>
  <si>
    <t xml:space="preserve">늦은 값 차단</t>
  </si>
  <si>
    <r>
      <rPr>
        <sz val="10"/>
        <rFont val="Arial"/>
        <family val="0"/>
        <charset val="1"/>
      </rPr>
      <t xml:space="preserve">OpenCR </t>
    </r>
    <r>
      <rPr>
        <sz val="10"/>
        <rFont val="Noto Sans CJK SC"/>
        <family val="2"/>
      </rPr>
      <t xml:space="preserve">범위</t>
    </r>
  </si>
  <si>
    <t xml:space="preserve">±2 g / ±2000°/s</t>
  </si>
  <si>
    <t xml:space="preserve">m/s² · rad/s</t>
  </si>
  <si>
    <r>
      <rPr>
        <sz val="10"/>
        <rFont val="Arial"/>
        <family val="0"/>
        <charset val="1"/>
      </rPr>
      <t xml:space="preserve">aRes=8 g </t>
    </r>
    <r>
      <rPr>
        <sz val="10"/>
        <rFont val="Noto Sans CJK SC"/>
        <family val="2"/>
      </rPr>
      <t xml:space="preserve">금지</t>
    </r>
  </si>
  <si>
    <t xml:space="preserve">보드별 구분</t>
  </si>
  <si>
    <r>
      <rPr>
        <sz val="10"/>
        <rFont val="Arial"/>
        <family val="0"/>
        <charset val="1"/>
      </rPr>
      <t xml:space="preserve">imu 1 · imu 2 </t>
    </r>
    <r>
      <rPr>
        <sz val="10"/>
        <rFont val="Noto Sans CJK SC"/>
        <family val="2"/>
      </rPr>
      <t xml:space="preserve">토픽</t>
    </r>
  </si>
  <si>
    <r>
      <rPr>
        <sz val="10"/>
        <rFont val="Arial"/>
        <family val="0"/>
        <charset val="1"/>
      </rPr>
      <t xml:space="preserve">USB </t>
    </r>
    <r>
      <rPr>
        <sz val="10"/>
        <rFont val="Noto Sans CJK SC"/>
        <family val="2"/>
      </rPr>
      <t xml:space="preserve">포트 별도</t>
    </r>
  </si>
  <si>
    <r>
      <rPr>
        <sz val="10"/>
        <rFont val="Noto Sans CJK SC"/>
        <family val="2"/>
      </rPr>
      <t xml:space="preserve">장치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고정</t>
    </r>
  </si>
  <si>
    <t xml:space="preserve">통신 검사</t>
  </si>
  <si>
    <r>
      <rPr>
        <sz val="10"/>
        <rFont val="Arial"/>
        <family val="0"/>
        <charset val="1"/>
      </rPr>
      <t xml:space="preserve">200 Hz </t>
    </r>
    <r>
      <rPr>
        <sz val="10"/>
        <rFont val="Noto Sans CJK SC"/>
        <family val="2"/>
      </rPr>
      <t xml:space="preserve">요청</t>
    </r>
  </si>
  <si>
    <r>
      <rPr>
        <sz val="10"/>
        <rFont val="Arial"/>
        <family val="0"/>
        <charset val="1"/>
      </rPr>
      <t xml:space="preserve">CRC·</t>
    </r>
    <r>
      <rPr>
        <sz val="10"/>
        <rFont val="Noto Sans CJK SC"/>
        <family val="2"/>
      </rPr>
      <t xml:space="preserve">순서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포화</t>
    </r>
  </si>
  <si>
    <r>
      <rPr>
        <sz val="10"/>
        <rFont val="Arial"/>
        <family val="0"/>
        <charset val="1"/>
      </rPr>
      <t xml:space="preserve">USB </t>
    </r>
    <r>
      <rPr>
        <sz val="10"/>
        <rFont val="Noto Sans CJK SC"/>
        <family val="2"/>
      </rPr>
      <t xml:space="preserve">시각은 추정</t>
    </r>
  </si>
  <si>
    <t xml:space="preserve">검증 범위</t>
  </si>
  <si>
    <r>
      <rPr>
        <sz val="10"/>
        <rFont val="Arial"/>
        <family val="0"/>
        <charset val="1"/>
      </rPr>
      <t xml:space="preserve">core 1.5.3 </t>
    </r>
    <r>
      <rPr>
        <sz val="10"/>
        <rFont val="Noto Sans CJK SC"/>
        <family val="2"/>
      </rPr>
      <t xml:space="preserve">컴파일</t>
    </r>
  </si>
  <si>
    <r>
      <rPr>
        <sz val="10"/>
        <rFont val="Arial"/>
        <family val="0"/>
        <charset val="1"/>
      </rPr>
      <t xml:space="preserve">ROS+PTY </t>
    </r>
    <r>
      <rPr>
        <sz val="10"/>
        <rFont val="Noto Sans CJK SC"/>
        <family val="2"/>
      </rPr>
      <t xml:space="preserve">통과</t>
    </r>
  </si>
  <si>
    <t xml:space="preserve">실물 플래시 미실행</t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</si>
  <si>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37] </t>
    </r>
    <r>
      <rPr>
        <b val="true"/>
        <sz val="14"/>
        <rFont val="Noto Sans CJK SC"/>
        <family val="2"/>
      </rPr>
      <t xml:space="preserve">위치추정</t>
    </r>
    <r>
      <rPr>
        <b val="true"/>
        <sz val="14"/>
        <rFont val="Arial"/>
        <family val="0"/>
        <charset val="1"/>
      </rPr>
      <t xml:space="preserve">: EKF </t>
    </r>
    <r>
      <rPr>
        <b val="true"/>
        <sz val="14"/>
        <rFont val="Noto Sans CJK SC"/>
        <family val="2"/>
      </rPr>
      <t xml:space="preserve">융합과 </t>
    </r>
    <r>
      <rPr>
        <b val="true"/>
        <sz val="14"/>
        <rFont val="Arial"/>
        <family val="0"/>
        <charset val="1"/>
      </rPr>
      <t xml:space="preserve">Nav2 AMCL</t>
    </r>
  </si>
  <si>
    <r>
      <rPr>
        <b val="true"/>
        <sz val="10"/>
        <color rgb="FFFFFFFF"/>
        <rFont val="Noto Sans CJK SC"/>
        <family val="2"/>
      </rPr>
      <t xml:space="preserve">측정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설정</t>
    </r>
  </si>
  <si>
    <t xml:space="preserve">현재 구성</t>
  </si>
  <si>
    <r>
      <rPr>
        <b val="true"/>
        <sz val="10"/>
        <color rgb="FFFFFFFF"/>
        <rFont val="Noto Sans CJK SC"/>
        <family val="2"/>
      </rPr>
      <t xml:space="preserve">변경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제외 항목</t>
    </r>
  </si>
  <si>
    <r>
      <rPr>
        <b val="true"/>
        <sz val="10"/>
        <color rgb="FFFFFFFF"/>
        <rFont val="Noto Sans CJK SC"/>
        <family val="2"/>
      </rPr>
      <t xml:space="preserve">이유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확인</t>
    </r>
  </si>
  <si>
    <t xml:space="preserve">wheel odometry</t>
  </si>
  <si>
    <r>
      <rPr>
        <sz val="10"/>
        <rFont val="Noto Sans CJK SC"/>
        <family val="2"/>
      </rPr>
      <t xml:space="preserve">차체 </t>
    </r>
    <r>
      <rPr>
        <sz val="10"/>
        <rFont val="Arial"/>
        <family val="0"/>
        <charset val="1"/>
      </rPr>
      <t xml:space="preserve">vx·vy</t>
    </r>
  </si>
  <si>
    <t xml:space="preserve">적분 위치 제외</t>
  </si>
  <si>
    <t xml:space="preserve">중복 융합 방지</t>
  </si>
  <si>
    <r>
      <rPr>
        <sz val="10"/>
        <rFont val="Noto Sans CJK SC"/>
        <family val="2"/>
      </rPr>
      <t xml:space="preserve">보정 </t>
    </r>
    <r>
      <rPr>
        <sz val="10"/>
        <rFont val="Arial"/>
        <family val="0"/>
        <charset val="1"/>
      </rPr>
      <t xml:space="preserve">yaw rate</t>
    </r>
  </si>
  <si>
    <r>
      <rPr>
        <sz val="10"/>
        <rFont val="Arial"/>
        <family val="0"/>
        <charset val="1"/>
      </rPr>
      <t xml:space="preserve">AHRS yaw </t>
    </r>
    <r>
      <rPr>
        <sz val="10"/>
        <rFont val="Noto Sans CJK SC"/>
        <family val="2"/>
      </rPr>
      <t xml:space="preserve">제외</t>
    </r>
  </si>
  <si>
    <r>
      <rPr>
        <sz val="10"/>
        <rFont val="Noto Sans CJK SC"/>
        <family val="2"/>
      </rPr>
      <t xml:space="preserve">공통 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시각</t>
    </r>
  </si>
  <si>
    <r>
      <rPr>
        <sz val="10"/>
        <rFont val="Arial"/>
        <family val="0"/>
        <charset val="1"/>
      </rPr>
      <t xml:space="preserve">VO + </t>
    </r>
    <r>
      <rPr>
        <sz val="10"/>
        <rFont val="Noto Sans CJK SC"/>
        <family val="2"/>
      </rPr>
      <t xml:space="preserve">팔 </t>
    </r>
    <r>
      <rPr>
        <sz val="10"/>
        <rFont val="Arial"/>
        <family val="0"/>
        <charset val="1"/>
      </rPr>
      <t xml:space="preserve">FK</t>
    </r>
  </si>
  <si>
    <t xml:space="preserve">위치 차분 → 속도</t>
  </si>
  <si>
    <r>
      <rPr>
        <sz val="10"/>
        <rFont val="Arial"/>
        <family val="0"/>
        <charset val="1"/>
      </rPr>
      <t xml:space="preserve">VO yaw </t>
    </r>
    <r>
      <rPr>
        <sz val="10"/>
        <rFont val="Noto Sans CJK SC"/>
        <family val="2"/>
      </rPr>
      <t xml:space="preserve">제외</t>
    </r>
  </si>
  <si>
    <r>
      <rPr>
        <sz val="10"/>
        <rFont val="Noto Sans CJK SC"/>
        <family val="2"/>
      </rPr>
      <t xml:space="preserve">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차체 분리</t>
    </r>
  </si>
  <si>
    <t xml:space="preserve">평면 좌표</t>
  </si>
  <si>
    <r>
      <rPr>
        <sz val="10"/>
        <rFont val="Noto Sans CJK SC"/>
        <family val="2"/>
      </rPr>
      <t xml:space="preserve">초기 </t>
    </r>
    <r>
      <rPr>
        <sz val="10"/>
        <rFont val="Arial"/>
        <family val="0"/>
        <charset val="1"/>
      </rPr>
      <t xml:space="preserve">body </t>
    </r>
    <r>
      <rPr>
        <sz val="10"/>
        <rFont val="Noto Sans CJK SC"/>
        <family val="2"/>
      </rPr>
      <t xml:space="preserve">기준</t>
    </r>
  </si>
  <si>
    <t xml:space="preserve">회전 후 투영</t>
  </si>
  <si>
    <r>
      <rPr>
        <sz val="10"/>
        <rFont val="Arial"/>
        <family val="0"/>
        <charset val="1"/>
      </rPr>
      <t xml:space="preserve">pitch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금지</t>
    </r>
  </si>
  <si>
    <r>
      <rPr>
        <sz val="10"/>
        <rFont val="Arial"/>
        <family val="0"/>
        <charset val="1"/>
      </rPr>
      <t xml:space="preserve">AMCL </t>
    </r>
    <r>
      <rPr>
        <sz val="10"/>
        <rFont val="Noto Sans CJK SC"/>
        <family val="2"/>
      </rPr>
      <t xml:space="preserve">운동 모델</t>
    </r>
  </si>
  <si>
    <t xml:space="preserve">OmniMotionModel</t>
  </si>
  <si>
    <t xml:space="preserve">차동 모델 금지</t>
  </si>
  <si>
    <t xml:space="preserve">횡이동 편향 검사</t>
  </si>
  <si>
    <r>
      <rPr>
        <sz val="10"/>
        <rFont val="Arial"/>
        <family val="0"/>
        <charset val="1"/>
      </rPr>
      <t xml:space="preserve">scan </t>
    </r>
    <r>
      <rPr>
        <sz val="10"/>
        <rFont val="Noto Sans CJK SC"/>
        <family val="2"/>
      </rPr>
      <t xml:space="preserve">입력</t>
    </r>
  </si>
  <si>
    <r>
      <rPr>
        <sz val="10"/>
        <rFont val="Noto Sans CJK SC"/>
        <family val="2"/>
      </rPr>
      <t xml:space="preserve">팔 깊이 </t>
    </r>
    <r>
      <rPr>
        <sz val="10"/>
        <rFont val="Arial"/>
        <family val="0"/>
        <charset val="1"/>
      </rPr>
      <t xml:space="preserve">/ 1° bin</t>
    </r>
  </si>
  <si>
    <r>
      <rPr>
        <sz val="10"/>
        <rFont val="Noto Sans CJK SC"/>
        <family val="2"/>
      </rPr>
      <t xml:space="preserve">범위 </t>
    </r>
    <r>
      <rPr>
        <sz val="10"/>
        <rFont val="Arial"/>
        <family val="0"/>
        <charset val="1"/>
      </rPr>
      <t xml:space="preserve">0.23–5 m</t>
    </r>
  </si>
  <si>
    <r>
      <rPr>
        <sz val="10"/>
        <rFont val="Noto Sans CJK SC"/>
        <family val="2"/>
      </rPr>
      <t xml:space="preserve">미관측은 </t>
    </r>
    <r>
      <rPr>
        <sz val="10"/>
        <rFont val="Arial"/>
        <family val="0"/>
        <charset val="1"/>
      </rPr>
      <t xml:space="preserve">infinity</t>
    </r>
  </si>
  <si>
    <r>
      <rPr>
        <sz val="10"/>
        <rFont val="Noto Sans CJK SC"/>
        <family val="2"/>
      </rPr>
      <t xml:space="preserve">입자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갱신</t>
    </r>
  </si>
  <si>
    <r>
      <rPr>
        <sz val="10"/>
        <rFont val="Arial"/>
        <family val="0"/>
        <charset val="1"/>
      </rPr>
      <t xml:space="preserve">500–1500 </t>
    </r>
    <r>
      <rPr>
        <sz val="10"/>
        <rFont val="Noto Sans CJK SC"/>
        <family val="2"/>
      </rPr>
      <t xml:space="preserve">입자</t>
    </r>
  </si>
  <si>
    <r>
      <rPr>
        <sz val="10"/>
        <rFont val="Noto Sans CJK SC"/>
        <family val="2"/>
      </rPr>
      <t xml:space="preserve">이동 </t>
    </r>
    <r>
      <rPr>
        <sz val="10"/>
        <rFont val="Arial"/>
        <family val="0"/>
        <charset val="1"/>
      </rPr>
      <t xml:space="preserve">0.01 m</t>
    </r>
  </si>
  <si>
    <r>
      <rPr>
        <sz val="10"/>
        <rFont val="Noto Sans CJK SC"/>
        <family val="2"/>
      </rPr>
      <t xml:space="preserve">오차</t>
    </r>
    <r>
      <rPr>
        <sz val="10"/>
        <rFont val="Arial"/>
        <family val="0"/>
        <charset val="1"/>
      </rPr>
      <t xml:space="preserve">·CPU </t>
    </r>
    <r>
      <rPr>
        <sz val="10"/>
        <rFont val="Noto Sans CJK SC"/>
        <family val="2"/>
      </rPr>
      <t xml:space="preserve">비교</t>
    </r>
  </si>
  <si>
    <r>
      <rPr>
        <sz val="10"/>
        <rFont val="Arial"/>
        <family val="0"/>
        <charset val="1"/>
      </rPr>
      <t xml:space="preserve">TF </t>
    </r>
    <r>
      <rPr>
        <sz val="10"/>
        <rFont val="Noto Sans CJK SC"/>
        <family val="2"/>
      </rPr>
      <t xml:space="preserve">소유권</t>
    </r>
  </si>
  <si>
    <t xml:space="preserve">map→odom→base</t>
  </si>
  <si>
    <t xml:space="preserve">발행 중복 제거</t>
  </si>
  <si>
    <t xml:space="preserve">영상 시각 조회</t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</si>
  <si>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39] </t>
    </r>
    <r>
      <rPr>
        <b val="true"/>
        <sz val="14"/>
        <rFont val="Noto Sans CJK SC"/>
        <family val="2"/>
      </rPr>
      <t xml:space="preserve">엔코더 사례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각도 래핑과 역회전 오류</t>
    </r>
  </si>
  <si>
    <t xml:space="preserve">잘못된 처리</t>
  </si>
  <si>
    <t xml:space="preserve">현재 구현</t>
  </si>
  <si>
    <t xml:space="preserve">튜닝할 값</t>
  </si>
  <si>
    <t xml:space="preserve">관절 각도 래핑</t>
  </si>
  <si>
    <t xml:space="preserve">원시 각도를 곧바로 차분</t>
  </si>
  <si>
    <r>
      <rPr>
        <sz val="10"/>
        <rFont val="Arial"/>
        <family val="0"/>
        <charset val="1"/>
      </rPr>
      <t xml:space="preserve">200 Hz</t>
    </r>
    <r>
      <rPr>
        <sz val="10"/>
        <rFont val="Noto Sans CJK SC"/>
        <family val="2"/>
      </rPr>
      <t xml:space="preserve">에서 연속각 복원</t>
    </r>
  </si>
  <si>
    <r>
      <rPr>
        <sz val="10"/>
        <rFont val="Noto Sans CJK SC"/>
        <family val="2"/>
      </rPr>
      <t xml:space="preserve">최대 속도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주기 </t>
    </r>
    <r>
      <rPr>
        <sz val="10"/>
        <rFont val="Arial"/>
        <family val="0"/>
        <charset val="1"/>
      </rPr>
      <t xml:space="preserve">&lt; π</t>
    </r>
  </si>
  <si>
    <t xml:space="preserve">속도 추정</t>
  </si>
  <si>
    <r>
      <rPr>
        <sz val="10"/>
        <rFont val="Arial"/>
        <family val="0"/>
        <charset val="1"/>
      </rPr>
      <t xml:space="preserve">5 ms </t>
    </r>
    <r>
      <rPr>
        <sz val="10"/>
        <rFont val="Noto Sans CJK SC"/>
        <family val="2"/>
      </rPr>
      <t xml:space="preserve">양자화 차분만 사용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</si>
  <si>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30 ms </t>
    </r>
    <r>
      <rPr>
        <sz val="10"/>
        <rFont val="Noto Sans CJK SC"/>
        <family val="2"/>
      </rPr>
      <t xml:space="preserve">차분창</t>
    </r>
  </si>
  <si>
    <r>
      <rPr>
        <sz val="10"/>
        <rFont val="Arial"/>
        <family val="0"/>
        <charset val="1"/>
      </rPr>
      <t xml:space="preserve">10 / 30 / 50 ms </t>
    </r>
    <r>
      <rPr>
        <sz val="10"/>
        <rFont val="Noto Sans CJK SC"/>
        <family val="2"/>
      </rPr>
      <t xml:space="preserve">비교</t>
    </r>
  </si>
  <si>
    <r>
      <rPr>
        <sz val="10"/>
        <rFont val="Noto Sans CJK SC"/>
        <family val="2"/>
      </rPr>
      <t xml:space="preserve">카운트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기어</t>
    </r>
  </si>
  <si>
    <r>
      <rPr>
        <sz val="10"/>
        <rFont val="Noto Sans CJK SC"/>
        <family val="2"/>
      </rPr>
      <t xml:space="preserve">바퀴 </t>
    </r>
    <r>
      <rPr>
        <sz val="10"/>
        <rFont val="Arial"/>
        <family val="0"/>
        <charset val="1"/>
      </rPr>
      <t xml:space="preserve">count</t>
    </r>
    <r>
      <rPr>
        <sz val="10"/>
        <rFont val="Noto Sans CJK SC"/>
        <family val="2"/>
      </rPr>
      <t xml:space="preserve">를 모터로 오인</t>
    </r>
  </si>
  <si>
    <r>
      <rPr>
        <sz val="10"/>
        <rFont val="Noto Sans CJK SC"/>
        <family val="2"/>
      </rPr>
      <t xml:space="preserve">모터축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바퀴각 </t>
    </r>
    <r>
      <rPr>
        <sz val="10"/>
        <rFont val="Arial"/>
        <family val="0"/>
        <charset val="1"/>
      </rPr>
      <t xml:space="preserve">/ 4</t>
    </r>
  </si>
  <si>
    <r>
      <rPr>
        <sz val="10"/>
        <rFont val="Noto Sans CJK SC"/>
        <family val="2"/>
      </rPr>
      <t xml:space="preserve">실물 </t>
    </r>
    <r>
      <rPr>
        <sz val="10"/>
        <rFont val="Arial"/>
        <family val="0"/>
        <charset val="1"/>
      </rPr>
      <t xml:space="preserve">CPR·</t>
    </r>
    <r>
      <rPr>
        <sz val="10"/>
        <rFont val="Noto Sans CJK SC"/>
        <family val="2"/>
      </rPr>
      <t xml:space="preserve">기어비로 교체</t>
    </r>
  </si>
  <si>
    <t xml:space="preserve">명령 속도만 확인</t>
  </si>
  <si>
    <r>
      <rPr>
        <sz val="10"/>
        <rFont val="Arial"/>
        <family val="0"/>
        <charset val="1"/>
      </rPr>
      <t xml:space="preserve">native </t>
    </r>
    <r>
      <rPr>
        <sz val="10"/>
        <rFont val="Noto Sans CJK SC"/>
        <family val="2"/>
      </rPr>
      <t xml:space="preserve">속도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카운트 비교</t>
    </r>
  </si>
  <si>
    <r>
      <rPr>
        <sz val="10"/>
        <rFont val="Noto Sans CJK SC"/>
        <family val="2"/>
      </rPr>
      <t xml:space="preserve">래핑 때 </t>
    </r>
    <r>
      <rPr>
        <sz val="10"/>
        <rFont val="Arial"/>
        <family val="0"/>
        <charset val="1"/>
      </rPr>
      <t xml:space="preserve">spike</t>
    </r>
    <r>
      <rPr>
        <sz val="10"/>
        <rFont val="Noto Sans CJK SC"/>
        <family val="2"/>
      </rPr>
      <t xml:space="preserve">가 없어야 함</t>
    </r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</si>
  <si>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42] Nav2: </t>
    </r>
    <r>
      <rPr>
        <b val="true"/>
        <sz val="14"/>
        <rFont val="Noto Sans CJK SC"/>
        <family val="2"/>
      </rPr>
      <t xml:space="preserve">통로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속도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도착 조정</t>
    </r>
  </si>
  <si>
    <t xml:space="preserve">좁은 통로 실패</t>
  </si>
  <si>
    <t xml:space="preserve">footprint·padding</t>
  </si>
  <si>
    <t xml:space="preserve">실제 외곽부터 수정</t>
  </si>
  <si>
    <t xml:space="preserve">실제 충돌 여유</t>
  </si>
  <si>
    <t xml:space="preserve">벽 가까이 주행</t>
  </si>
  <si>
    <r>
      <rPr>
        <sz val="10"/>
        <rFont val="Arial"/>
        <family val="0"/>
        <charset val="1"/>
      </rPr>
      <t xml:space="preserve">inflation </t>
    </r>
    <r>
      <rPr>
        <sz val="10"/>
        <rFont val="Noto Sans CJK SC"/>
        <family val="2"/>
      </rPr>
      <t xml:space="preserve">설정</t>
    </r>
  </si>
  <si>
    <t xml:space="preserve">비용 분포 점검</t>
  </si>
  <si>
    <r>
      <rPr>
        <sz val="10"/>
        <rFont val="Noto Sans CJK SC"/>
        <family val="2"/>
      </rPr>
      <t xml:space="preserve">여유 거리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통과</t>
    </r>
  </si>
  <si>
    <t xml:space="preserve">코너를 크게 벗어남</t>
  </si>
  <si>
    <r>
      <rPr>
        <sz val="10"/>
        <rFont val="Noto Sans CJK SC"/>
        <family val="2"/>
      </rPr>
      <t xml:space="preserve">속도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가속도</t>
    </r>
  </si>
  <si>
    <t xml:space="preserve">우선 저속으로</t>
  </si>
  <si>
    <r>
      <rPr>
        <sz val="10"/>
        <rFont val="Noto Sans CJK SC"/>
        <family val="2"/>
      </rPr>
      <t xml:space="preserve">추종오차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제동거리</t>
    </r>
  </si>
  <si>
    <t xml:space="preserve">목표에서 진동</t>
  </si>
  <si>
    <t xml:space="preserve">goal tolerance</t>
  </si>
  <si>
    <t xml:space="preserve">센서 오차보다 여유</t>
  </si>
  <si>
    <r>
      <rPr>
        <sz val="10"/>
        <rFont val="Noto Sans CJK SC"/>
        <family val="2"/>
      </rPr>
      <t xml:space="preserve">정지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방향 오차</t>
    </r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</si>
  <si>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43] Nav2: MPPI </t>
    </r>
    <r>
      <rPr>
        <b val="true"/>
        <sz val="14"/>
        <rFont val="Noto Sans CJK SC"/>
        <family val="2"/>
      </rPr>
      <t xml:space="preserve">파라미터를 바꿀 때</t>
    </r>
  </si>
  <si>
    <t xml:space="preserve">motion_model</t>
  </si>
  <si>
    <r>
      <rPr>
        <sz val="10"/>
        <rFont val="Noto Sans CJK SC"/>
        <family val="2"/>
      </rPr>
      <t xml:space="preserve">스워브</t>
    </r>
    <r>
      <rPr>
        <sz val="10"/>
        <rFont val="Arial"/>
        <family val="0"/>
        <charset val="1"/>
      </rPr>
      <t xml:space="preserve">: Omni</t>
    </r>
  </si>
  <si>
    <t xml:space="preserve">실제 구동 구조와 일치</t>
  </si>
  <si>
    <t xml:space="preserve">횡이동 동작 확인</t>
  </si>
  <si>
    <r>
      <rPr>
        <sz val="10"/>
        <rFont val="Arial"/>
        <family val="0"/>
        <charset val="1"/>
      </rPr>
      <t xml:space="preserve">vx·vy·wz </t>
    </r>
    <r>
      <rPr>
        <sz val="10"/>
        <rFont val="Noto Sans CJK SC"/>
        <family val="2"/>
      </rPr>
      <t xml:space="preserve">제한</t>
    </r>
  </si>
  <si>
    <t xml:space="preserve">구동기 실측값</t>
  </si>
  <si>
    <t xml:space="preserve">포화 시 한계 낮춤</t>
  </si>
  <si>
    <t xml:space="preserve">명령 대비 실제 속도</t>
  </si>
  <si>
    <t xml:space="preserve">model_dt·time_steps</t>
  </si>
  <si>
    <t xml:space="preserve">예측 시간 결정</t>
  </si>
  <si>
    <r>
      <rPr>
        <sz val="10"/>
        <rFont val="Noto Sans CJK SC"/>
        <family val="2"/>
      </rPr>
      <t xml:space="preserve">제동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코너 길이 고려</t>
    </r>
  </si>
  <si>
    <r>
      <rPr>
        <sz val="10"/>
        <rFont val="Noto Sans CJK SC"/>
        <family val="2"/>
      </rPr>
      <t xml:space="preserve">예측 궤적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연산시간</t>
    </r>
  </si>
  <si>
    <r>
      <rPr>
        <sz val="10"/>
        <rFont val="Arial"/>
        <family val="0"/>
        <charset val="1"/>
      </rPr>
      <t xml:space="preserve">batch_size·</t>
    </r>
    <r>
      <rPr>
        <sz val="10"/>
        <rFont val="Noto Sans CJK SC"/>
        <family val="2"/>
      </rPr>
      <t xml:space="preserve">온도</t>
    </r>
  </si>
  <si>
    <r>
      <rPr>
        <sz val="10"/>
        <rFont val="Noto Sans CJK SC"/>
        <family val="2"/>
      </rPr>
      <t xml:space="preserve">샘플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선택 민감도</t>
    </r>
  </si>
  <si>
    <t xml:space="preserve">기본값에서 한 항씩</t>
  </si>
  <si>
    <r>
      <rPr>
        <sz val="10"/>
        <rFont val="Noto Sans CJK SC"/>
        <family val="2"/>
      </rPr>
      <t xml:space="preserve">지연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충돌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진동</t>
    </r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</si>
  <si>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45] </t>
    </r>
    <r>
      <rPr>
        <b val="true"/>
        <sz val="14"/>
        <rFont val="Noto Sans CJK SC"/>
        <family val="2"/>
      </rPr>
      <t xml:space="preserve">스워브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모듈 정의와 역기구학</t>
    </r>
  </si>
  <si>
    <t xml:space="preserve">모듈 위치</t>
  </si>
  <si>
    <t xml:space="preserve">(x_i, y_i)</t>
  </si>
  <si>
    <r>
      <rPr>
        <sz val="10"/>
        <rFont val="Arial"/>
        <family val="0"/>
        <charset val="1"/>
      </rPr>
      <t xml:space="preserve">base 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m</t>
    </r>
  </si>
  <si>
    <r>
      <rPr>
        <sz val="10"/>
        <rFont val="Noto Sans CJK SC"/>
        <family val="2"/>
      </rPr>
      <t xml:space="preserve">앞뒤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좌우 부호</t>
    </r>
  </si>
  <si>
    <t xml:space="preserve">바퀴 반경</t>
  </si>
  <si>
    <r>
      <rPr>
        <sz val="10"/>
        <rFont val="Noto Sans CJK SC"/>
        <family val="2"/>
      </rPr>
      <t xml:space="preserve">시연 </t>
    </r>
    <r>
      <rPr>
        <sz val="10"/>
        <rFont val="Arial"/>
        <family val="0"/>
        <charset val="1"/>
      </rPr>
      <t xml:space="preserve">0.030687 m</t>
    </r>
  </si>
  <si>
    <r>
      <rPr>
        <sz val="10"/>
        <rFont val="Noto Sans CJK SC"/>
        <family val="2"/>
      </rPr>
      <t xml:space="preserve">팀 </t>
    </r>
    <r>
      <rPr>
        <sz val="10"/>
        <rFont val="Arial"/>
        <family val="0"/>
        <charset val="1"/>
      </rPr>
      <t xml:space="preserve">USD </t>
    </r>
    <r>
      <rPr>
        <sz val="10"/>
        <rFont val="Noto Sans CJK SC"/>
        <family val="2"/>
      </rPr>
      <t xml:space="preserve">실측</t>
    </r>
  </si>
  <si>
    <r>
      <rPr>
        <sz val="10"/>
        <rFont val="Noto Sans CJK SC"/>
        <family val="2"/>
      </rPr>
      <t xml:space="preserve">속도 환산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미끄럼</t>
    </r>
  </si>
  <si>
    <t xml:space="preserve">조향 영점</t>
  </si>
  <si>
    <t xml:space="preserve">beta_i</t>
  </si>
  <si>
    <r>
      <rPr>
        <sz val="10"/>
        <rFont val="Noto Sans CJK SC"/>
        <family val="2"/>
      </rPr>
      <t xml:space="preserve">관절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의 굴림 방향</t>
    </r>
  </si>
  <si>
    <t xml:space="preserve">전진 명령 테스트</t>
  </si>
  <si>
    <t xml:space="preserve">관절 순서</t>
  </si>
  <si>
    <r>
      <rPr>
        <sz val="10"/>
        <rFont val="Noto Sans CJK SC"/>
        <family val="2"/>
      </rPr>
      <t xml:space="preserve">조향</t>
    </r>
    <r>
      <rPr>
        <sz val="10"/>
        <rFont val="Arial"/>
        <family val="0"/>
        <charset val="1"/>
      </rPr>
      <t xml:space="preserve">4 + </t>
    </r>
    <r>
      <rPr>
        <sz val="10"/>
        <rFont val="Noto Sans CJK SC"/>
        <family val="2"/>
      </rPr>
      <t xml:space="preserve">바퀴</t>
    </r>
    <r>
      <rPr>
        <sz val="10"/>
        <rFont val="Arial"/>
        <family val="0"/>
        <charset val="1"/>
      </rPr>
      <t xml:space="preserve">4</t>
    </r>
  </si>
  <si>
    <t xml:space="preserve">이름으로 매핑</t>
  </si>
  <si>
    <t xml:space="preserve">동일 모듈 짝</t>
  </si>
  <si>
    <r>
      <rPr>
        <sz val="10"/>
        <rFont val="Noto Sans CJK SC"/>
        <family val="2"/>
      </rPr>
      <t xml:space="preserve">모듈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속도</t>
    </r>
  </si>
  <si>
    <t xml:space="preserve">u_i = vx − wz·y_i</t>
  </si>
  <si>
    <r>
      <rPr>
        <sz val="10"/>
        <rFont val="Arial"/>
        <family val="0"/>
        <charset val="1"/>
      </rPr>
      <t xml:space="preserve">body </t>
    </r>
    <r>
      <rPr>
        <sz val="10"/>
        <rFont val="Noto Sans CJK SC"/>
        <family val="2"/>
      </rPr>
      <t xml:space="preserve">좌표 사용</t>
    </r>
  </si>
  <si>
    <t xml:space="preserve">순수 전진</t>
  </si>
  <si>
    <r>
      <rPr>
        <sz val="10"/>
        <rFont val="Noto Sans CJK SC"/>
        <family val="2"/>
      </rPr>
      <t xml:space="preserve">모듈 </t>
    </r>
    <r>
      <rPr>
        <sz val="10"/>
        <rFont val="Arial"/>
        <family val="0"/>
        <charset val="1"/>
      </rPr>
      <t xml:space="preserve">Y </t>
    </r>
    <r>
      <rPr>
        <sz val="10"/>
        <rFont val="Noto Sans CJK SC"/>
        <family val="2"/>
      </rPr>
      <t xml:space="preserve">속도</t>
    </r>
  </si>
  <si>
    <t xml:space="preserve">v_i = vy + wz·x_i</t>
  </si>
  <si>
    <r>
      <rPr>
        <sz val="10"/>
        <rFont val="Arial"/>
        <family val="0"/>
        <charset val="1"/>
      </rPr>
      <t xml:space="preserve">rad/s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혼동 금지</t>
    </r>
  </si>
  <si>
    <t xml:space="preserve">순수 횡이동</t>
  </si>
  <si>
    <t xml:space="preserve">조향 목표</t>
  </si>
  <si>
    <t xml:space="preserve">atan2(v_i,u_i)−beta_i</t>
  </si>
  <si>
    <r>
      <rPr>
        <sz val="10"/>
        <rFont val="Noto Sans CJK SC"/>
        <family val="2"/>
      </rPr>
      <t xml:space="preserve">각도 </t>
    </r>
    <r>
      <rPr>
        <sz val="10"/>
        <rFont val="Arial"/>
        <family val="0"/>
        <charset val="1"/>
      </rPr>
      <t xml:space="preserve">wrap</t>
    </r>
  </si>
  <si>
    <t xml:space="preserve">제자리 회전</t>
  </si>
  <si>
    <t xml:space="preserve">바퀴 각속도</t>
  </si>
  <si>
    <t xml:space="preserve">sqrt(u²+v²) / r</t>
  </si>
  <si>
    <t xml:space="preserve">회전 부호 적용</t>
  </si>
  <si>
    <t xml:space="preserve">모든 모듈 접선</t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</si>
  <si>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46] Isaac Lab: </t>
    </r>
    <r>
      <rPr>
        <b val="true"/>
        <sz val="14"/>
        <rFont val="Noto Sans CJK SC"/>
        <family val="2"/>
      </rPr>
      <t xml:space="preserve">스워브 구동기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관측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시간</t>
    </r>
  </si>
  <si>
    <r>
      <rPr>
        <sz val="10"/>
        <rFont val="Arial"/>
        <family val="0"/>
        <charset val="1"/>
      </rPr>
      <t xml:space="preserve">steer </t>
    </r>
    <r>
      <rPr>
        <sz val="10"/>
        <rFont val="Noto Sans CJK SC"/>
        <family val="2"/>
      </rPr>
      <t xml:space="preserve">위치 제어</t>
    </r>
  </si>
  <si>
    <r>
      <rPr>
        <sz val="10"/>
        <rFont val="Arial"/>
        <family val="0"/>
        <charset val="1"/>
      </rPr>
      <t xml:space="preserve">Kp 30 / Kd 3 </t>
    </r>
    <r>
      <rPr>
        <sz val="10"/>
        <rFont val="Noto Sans CJK SC"/>
        <family val="2"/>
      </rPr>
      <t xml:space="preserve">예시</t>
    </r>
  </si>
  <si>
    <t xml:space="preserve">진동 시 감쇠 ↑</t>
  </si>
  <si>
    <t xml:space="preserve">과도 응답</t>
  </si>
  <si>
    <r>
      <rPr>
        <sz val="10"/>
        <rFont val="Arial"/>
        <family val="0"/>
        <charset val="1"/>
      </rPr>
      <t xml:space="preserve">wheel </t>
    </r>
    <r>
      <rPr>
        <sz val="10"/>
        <rFont val="Noto Sans CJK SC"/>
        <family val="2"/>
      </rPr>
      <t xml:space="preserve">속도 제어</t>
    </r>
  </si>
  <si>
    <r>
      <rPr>
        <sz val="10"/>
        <rFont val="Arial"/>
        <family val="0"/>
        <charset val="1"/>
      </rPr>
      <t xml:space="preserve">Kp 0 / Kd 1 </t>
    </r>
    <r>
      <rPr>
        <sz val="10"/>
        <rFont val="Noto Sans CJK SC"/>
        <family val="2"/>
      </rPr>
      <t xml:space="preserve">예시</t>
    </r>
  </si>
  <si>
    <r>
      <rPr>
        <sz val="10"/>
        <rFont val="Noto Sans CJK SC"/>
        <family val="2"/>
      </rPr>
      <t xml:space="preserve">추종 오차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진동</t>
    </r>
  </si>
  <si>
    <r>
      <rPr>
        <sz val="10"/>
        <rFont val="Noto Sans CJK SC"/>
        <family val="2"/>
      </rPr>
      <t xml:space="preserve">속도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슬립</t>
    </r>
  </si>
  <si>
    <t xml:space="preserve">effort limit</t>
  </si>
  <si>
    <r>
      <rPr>
        <sz val="10"/>
        <rFont val="Noto Sans CJK SC"/>
        <family val="2"/>
      </rPr>
      <t xml:space="preserve">모터 </t>
    </r>
    <r>
      <rPr>
        <sz val="10"/>
        <rFont val="Arial"/>
        <family val="0"/>
        <charset val="1"/>
      </rPr>
      <t xml:space="preserve">1 Nm </t>
    </r>
    <r>
      <rPr>
        <sz val="10"/>
        <rFont val="Noto Sans CJK SC"/>
        <family val="2"/>
      </rPr>
      <t xml:space="preserve">가정</t>
    </r>
  </si>
  <si>
    <t xml:space="preserve">정격으로 교체</t>
  </si>
  <si>
    <r>
      <rPr>
        <sz val="10"/>
        <rFont val="Noto Sans CJK SC"/>
        <family val="2"/>
      </rPr>
      <t xml:space="preserve">발열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전류</t>
    </r>
  </si>
  <si>
    <t xml:space="preserve">articulation root</t>
  </si>
  <si>
    <t xml:space="preserve">base_link</t>
  </si>
  <si>
    <r>
      <rPr>
        <sz val="10"/>
        <rFont val="Noto Sans CJK SC"/>
        <family val="2"/>
      </rPr>
      <t xml:space="preserve">원본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충돌 검사</t>
    </r>
  </si>
  <si>
    <r>
      <rPr>
        <sz val="10"/>
        <rFont val="Noto Sans CJK SC"/>
        <family val="2"/>
      </rPr>
      <t xml:space="preserve">부유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초기 자세</t>
    </r>
  </si>
  <si>
    <t xml:space="preserve">시간 설정</t>
  </si>
  <si>
    <r>
      <rPr>
        <sz val="10"/>
        <rFont val="Noto Sans CJK SC"/>
        <family val="2"/>
      </rPr>
      <t xml:space="preserve">최종 물리 </t>
    </r>
    <r>
      <rPr>
        <sz val="10"/>
        <rFont val="Arial"/>
        <family val="0"/>
        <charset val="1"/>
      </rPr>
      <t xml:space="preserve">200 Hz</t>
    </r>
  </si>
  <si>
    <t xml:space="preserve">decimation 13</t>
  </si>
  <si>
    <r>
      <rPr>
        <sz val="10"/>
        <rFont val="Noto Sans CJK SC"/>
        <family val="2"/>
      </rPr>
      <t xml:space="preserve">정책 </t>
    </r>
    <r>
      <rPr>
        <sz val="10"/>
        <rFont val="Arial"/>
        <family val="0"/>
        <charset val="1"/>
      </rPr>
      <t xml:space="preserve">15.38 Hz</t>
    </r>
  </si>
  <si>
    <t xml:space="preserve">행동</t>
  </si>
  <si>
    <r>
      <rPr>
        <sz val="10"/>
        <rFont val="Noto Sans CJK SC"/>
        <family val="2"/>
      </rPr>
      <t xml:space="preserve">가감속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팔 </t>
    </r>
    <r>
      <rPr>
        <sz val="10"/>
        <rFont val="Arial"/>
        <family val="0"/>
        <charset val="1"/>
      </rPr>
      <t xml:space="preserve">yaw</t>
    </r>
  </si>
  <si>
    <t xml:space="preserve">구동기로 환산</t>
  </si>
  <si>
    <r>
      <rPr>
        <sz val="10"/>
        <rFont val="Noto Sans CJK SC"/>
        <family val="2"/>
      </rPr>
      <t xml:space="preserve">단위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한계 일치</t>
    </r>
  </si>
  <si>
    <t xml:space="preserve">관측</t>
  </si>
  <si>
    <r>
      <rPr>
        <sz val="10"/>
        <rFont val="Noto Sans CJK SC"/>
        <family val="2"/>
      </rPr>
      <t xml:space="preserve">최종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차원</t>
    </r>
  </si>
  <si>
    <r>
      <rPr>
        <sz val="10"/>
        <rFont val="Noto Sans CJK SC"/>
        <family val="2"/>
      </rPr>
      <t xml:space="preserve">순서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정규화 고정</t>
    </r>
  </si>
  <si>
    <r>
      <rPr>
        <sz val="10"/>
        <rFont val="Arial"/>
        <family val="0"/>
        <charset val="1"/>
      </rPr>
      <t xml:space="preserve">checkpoint </t>
    </r>
    <r>
      <rPr>
        <sz val="10"/>
        <rFont val="Noto Sans CJK SC"/>
        <family val="2"/>
      </rPr>
      <t xml:space="preserve">일치</t>
    </r>
  </si>
  <si>
    <t xml:space="preserve">실패 종료</t>
  </si>
  <si>
    <r>
      <rPr>
        <sz val="10"/>
        <rFont val="Noto Sans CJK SC"/>
        <family val="2"/>
      </rPr>
      <t xml:space="preserve">기울기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접촉</t>
    </r>
    <r>
      <rPr>
        <sz val="10"/>
        <rFont val="Arial"/>
        <family val="0"/>
        <charset val="1"/>
      </rPr>
      <t xml:space="preserve">·NaN</t>
    </r>
  </si>
  <si>
    <t xml:space="preserve">조건별 로그 분리</t>
  </si>
  <si>
    <t xml:space="preserve">정상 종료 구분</t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</si>
  <si>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47] </t>
    </r>
    <r>
      <rPr>
        <b val="true"/>
        <sz val="14"/>
        <rFont val="Noto Sans CJK SC"/>
        <family val="2"/>
      </rPr>
      <t xml:space="preserve">스워브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조향 반전과 증상별 수정</t>
    </r>
  </si>
  <si>
    <r>
      <rPr>
        <sz val="10"/>
        <rFont val="Noto Sans CJK SC"/>
        <family val="2"/>
      </rPr>
      <t xml:space="preserve">조향 </t>
    </r>
    <r>
      <rPr>
        <sz val="10"/>
        <rFont val="Arial"/>
        <family val="0"/>
        <charset val="1"/>
      </rPr>
      <t xml:space="preserve">±90° </t>
    </r>
    <r>
      <rPr>
        <sz val="10"/>
        <rFont val="Noto Sans CJK SC"/>
        <family val="2"/>
      </rPr>
      <t xml:space="preserve">제한</t>
    </r>
  </si>
  <si>
    <r>
      <rPr>
        <sz val="10"/>
        <rFont val="Arial"/>
        <family val="0"/>
        <charset val="1"/>
      </rPr>
      <t xml:space="preserve">theta±pi, </t>
    </r>
    <r>
      <rPr>
        <sz val="10"/>
        <rFont val="Noto Sans CJK SC"/>
        <family val="2"/>
      </rPr>
      <t xml:space="preserve">속도 반전</t>
    </r>
  </si>
  <si>
    <t xml:space="preserve">각도와 부호 동시 수정</t>
  </si>
  <si>
    <t xml:space="preserve">같은 굴림 방향</t>
  </si>
  <si>
    <t xml:space="preserve">경계에서 채터링</t>
  </si>
  <si>
    <r>
      <rPr>
        <sz val="10"/>
        <rFont val="Noto Sans CJK SC"/>
        <family val="2"/>
      </rPr>
      <t xml:space="preserve">시연 </t>
    </r>
    <r>
      <rPr>
        <sz val="10"/>
        <rFont val="Arial"/>
        <family val="0"/>
        <charset val="1"/>
      </rPr>
      <t xml:space="preserve">hold=0.06 rad</t>
    </r>
  </si>
  <si>
    <r>
      <rPr>
        <sz val="10"/>
        <rFont val="Noto Sans CJK SC"/>
        <family val="2"/>
      </rPr>
      <t xml:space="preserve">작게 조정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재시험</t>
    </r>
  </si>
  <si>
    <t xml:space="preserve">분기 전환 횟수</t>
  </si>
  <si>
    <t xml:space="preserve">조향 속도 한계</t>
  </si>
  <si>
    <r>
      <rPr>
        <sz val="10"/>
        <rFont val="Noto Sans CJK SC"/>
        <family val="2"/>
      </rPr>
      <t xml:space="preserve">시연 </t>
    </r>
    <r>
      <rPr>
        <sz val="10"/>
        <rFont val="Arial"/>
        <family val="0"/>
        <charset val="1"/>
      </rPr>
      <t xml:space="preserve">1 rad/s</t>
    </r>
  </si>
  <si>
    <t xml:space="preserve">실제 구동 한계 반영</t>
  </si>
  <si>
    <r>
      <rPr>
        <sz val="10"/>
        <rFont val="Noto Sans CJK SC"/>
        <family val="2"/>
      </rPr>
      <t xml:space="preserve">목표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실제 지연</t>
    </r>
  </si>
  <si>
    <t xml:space="preserve">정렬 전 바퀴 회전</t>
  </si>
  <si>
    <t xml:space="preserve">max(0, cos(error))</t>
  </si>
  <si>
    <t xml:space="preserve">정렬 동안 감속</t>
  </si>
  <si>
    <r>
      <rPr>
        <sz val="10"/>
        <rFont val="Noto Sans CJK SC"/>
        <family val="2"/>
      </rPr>
      <t xml:space="preserve">횡미끄럼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정체</t>
    </r>
  </si>
  <si>
    <t xml:space="preserve">전진인데 회전</t>
  </si>
  <si>
    <r>
      <rPr>
        <sz val="10"/>
        <rFont val="Noto Sans CJK SC"/>
        <family val="2"/>
      </rPr>
      <t xml:space="preserve">모듈 순서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부호</t>
    </r>
  </si>
  <si>
    <t xml:space="preserve">한 바퀴씩 확인</t>
  </si>
  <si>
    <t xml:space="preserve">대칭 속도</t>
  </si>
  <si>
    <t xml:space="preserve">횡이동이 대각선</t>
  </si>
  <si>
    <r>
      <rPr>
        <sz val="10"/>
        <rFont val="Noto Sans CJK SC"/>
        <family val="2"/>
      </rPr>
      <t xml:space="preserve">조향 영점</t>
    </r>
    <r>
      <rPr>
        <sz val="10"/>
        <rFont val="Arial"/>
        <family val="0"/>
        <charset val="1"/>
      </rPr>
      <t xml:space="preserve">·beta</t>
    </r>
  </si>
  <si>
    <r>
      <rPr>
        <sz val="10"/>
        <rFont val="Arial"/>
        <family val="0"/>
        <charset val="1"/>
      </rPr>
      <t xml:space="preserve">USD </t>
    </r>
    <r>
      <rPr>
        <sz val="10"/>
        <rFont val="Noto Sans CJK SC"/>
        <family val="2"/>
      </rPr>
      <t xml:space="preserve">축 다시 측정</t>
    </r>
  </si>
  <si>
    <r>
      <rPr>
        <sz val="10"/>
        <rFont val="Arial"/>
        <family val="0"/>
        <charset val="1"/>
      </rPr>
      <t xml:space="preserve">vy </t>
    </r>
    <r>
      <rPr>
        <sz val="10"/>
        <rFont val="Noto Sans CJK SC"/>
        <family val="2"/>
      </rPr>
      <t xml:space="preserve">단독 변위</t>
    </r>
  </si>
  <si>
    <t xml:space="preserve">코너에서 떨림</t>
  </si>
  <si>
    <r>
      <rPr>
        <sz val="10"/>
        <rFont val="Noto Sans CJK SC"/>
        <family val="2"/>
      </rPr>
      <t xml:space="preserve">분기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조향 지연</t>
    </r>
  </si>
  <si>
    <r>
      <rPr>
        <sz val="10"/>
        <rFont val="Noto Sans CJK SC"/>
        <family val="2"/>
      </rPr>
      <t xml:space="preserve">저속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각도 로그</t>
    </r>
  </si>
  <si>
    <t xml:space="preserve">반전 횟수</t>
  </si>
  <si>
    <t xml:space="preserve">명령은 큰데 정지</t>
  </si>
  <si>
    <r>
      <rPr>
        <sz val="10"/>
        <rFont val="Noto Sans CJK SC"/>
        <family val="2"/>
      </rPr>
      <t xml:space="preserve">접촉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슬립</t>
    </r>
  </si>
  <si>
    <t xml:space="preserve">보상보다 물리 우선</t>
  </si>
  <si>
    <r>
      <rPr>
        <sz val="10"/>
        <rFont val="Noto Sans CJK SC"/>
        <family val="2"/>
      </rPr>
      <t xml:space="preserve">실제 관절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속도</t>
    </r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</si>
  <si>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48] </t>
    </r>
    <r>
      <rPr>
        <b val="true"/>
        <sz val="14"/>
        <rFont val="Noto Sans CJK SC"/>
        <family val="2"/>
      </rPr>
      <t xml:space="preserve">부록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스워브와 </t>
    </r>
    <r>
      <rPr>
        <b val="true"/>
        <sz val="14"/>
        <rFont val="Arial"/>
        <family val="0"/>
        <charset val="1"/>
      </rPr>
      <t xml:space="preserve">Nav2 </t>
    </r>
    <r>
      <rPr>
        <b val="true"/>
        <sz val="14"/>
        <rFont val="Noto Sans CJK SC"/>
        <family val="2"/>
      </rPr>
      <t xml:space="preserve">연결</t>
    </r>
  </si>
  <si>
    <r>
      <rPr>
        <sz val="10"/>
        <rFont val="Arial"/>
        <family val="0"/>
        <charset val="1"/>
      </rPr>
      <t xml:space="preserve">Nav2 </t>
    </r>
    <r>
      <rPr>
        <sz val="10"/>
        <rFont val="Noto Sans CJK SC"/>
        <family val="2"/>
      </rPr>
      <t xml:space="preserve">출력</t>
    </r>
  </si>
  <si>
    <t xml:space="preserve">body vx, vy, wz</t>
  </si>
  <si>
    <t xml:space="preserve">메시지 타입 확인</t>
  </si>
  <si>
    <t xml:space="preserve">Twist / Stamped</t>
  </si>
  <si>
    <r>
      <rPr>
        <sz val="10"/>
        <rFont val="Arial"/>
        <family val="0"/>
        <charset val="1"/>
      </rPr>
      <t xml:space="preserve">Omni </t>
    </r>
    <r>
      <rPr>
        <sz val="10"/>
        <rFont val="Noto Sans CJK SC"/>
        <family val="2"/>
      </rPr>
      <t xml:space="preserve">모델</t>
    </r>
  </si>
  <si>
    <t xml:space="preserve">횡이동 허용</t>
  </si>
  <si>
    <r>
      <rPr>
        <sz val="10"/>
        <rFont val="Arial"/>
        <family val="0"/>
        <charset val="1"/>
      </rPr>
      <t xml:space="preserve">vy </t>
    </r>
    <r>
      <rPr>
        <sz val="10"/>
        <rFont val="Noto Sans CJK SC"/>
        <family val="2"/>
      </rPr>
      <t xml:space="preserve">제한도 지정</t>
    </r>
  </si>
  <si>
    <t xml:space="preserve">역기구학 연결</t>
  </si>
  <si>
    <r>
      <rPr>
        <sz val="10"/>
        <rFont val="Noto Sans CJK SC"/>
        <family val="2"/>
      </rPr>
      <t xml:space="preserve">실제 </t>
    </r>
    <r>
      <rPr>
        <sz val="10"/>
        <rFont val="Arial"/>
        <family val="0"/>
        <charset val="1"/>
      </rPr>
      <t xml:space="preserve">odom</t>
    </r>
  </si>
  <si>
    <t xml:space="preserve">센서 기반 속도</t>
  </si>
  <si>
    <t xml:space="preserve">명령 복사 금지</t>
  </si>
  <si>
    <t xml:space="preserve">실제 이동 반영</t>
  </si>
  <si>
    <t xml:space="preserve">명령 중재</t>
  </si>
  <si>
    <r>
      <rPr>
        <sz val="10"/>
        <rFont val="Arial"/>
        <family val="0"/>
        <charset val="1"/>
      </rPr>
      <t xml:space="preserve">Nav2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PPO</t>
    </r>
  </si>
  <si>
    <t xml:space="preserve">한 모드만 활성화</t>
  </si>
  <si>
    <r>
      <rPr>
        <sz val="10"/>
        <rFont val="Noto Sans CJK SC"/>
        <family val="2"/>
      </rPr>
      <t xml:space="preserve">만료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손실 시 정지</t>
    </r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</si>
  <si>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49] </t>
    </r>
    <r>
      <rPr>
        <b val="true"/>
        <sz val="14"/>
        <rFont val="Noto Sans CJK SC"/>
        <family val="2"/>
      </rPr>
      <t xml:space="preserve">동역학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조향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문제와 수정 사례</t>
    </r>
  </si>
  <si>
    <r>
      <rPr>
        <b val="true"/>
        <sz val="10"/>
        <color rgb="FFFFFFFF"/>
        <rFont val="Noto Sans CJK SC"/>
        <family val="2"/>
      </rPr>
      <t xml:space="preserve">항목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증상</t>
    </r>
  </si>
  <si>
    <t xml:space="preserve">원인</t>
  </si>
  <si>
    <t xml:space="preserve">현재 처리</t>
  </si>
  <si>
    <r>
      <rPr>
        <b val="true"/>
        <sz val="10"/>
        <color rgb="FFFFFFFF"/>
        <rFont val="Noto Sans CJK SC"/>
        <family val="2"/>
      </rPr>
      <t xml:space="preserve">실물 확인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기준</t>
    </r>
  </si>
  <si>
    <t xml:space="preserve">바퀴 관성</t>
  </si>
  <si>
    <r>
      <rPr>
        <sz val="10"/>
        <rFont val="Arial"/>
        <family val="0"/>
        <charset val="1"/>
      </rPr>
      <t xml:space="preserve">COM </t>
    </r>
    <r>
      <rPr>
        <sz val="10"/>
        <rFont val="Noto Sans CJK SC"/>
        <family val="2"/>
      </rPr>
      <t xml:space="preserve">축 밖</t>
    </r>
  </si>
  <si>
    <r>
      <rPr>
        <sz val="10"/>
        <rFont val="Noto Sans CJK SC"/>
        <family val="2"/>
      </rPr>
      <t xml:space="preserve">동심 관성 </t>
    </r>
    <r>
      <rPr>
        <sz val="10"/>
        <rFont val="Arial"/>
        <family val="0"/>
        <charset val="1"/>
      </rPr>
      <t xml:space="preserve">overlay</t>
    </r>
  </si>
  <si>
    <r>
      <rPr>
        <sz val="10"/>
        <rFont val="Noto Sans CJK SC"/>
        <family val="2"/>
      </rPr>
      <t xml:space="preserve">질량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관성 실측</t>
    </r>
  </si>
  <si>
    <r>
      <rPr>
        <sz val="10"/>
        <rFont val="Noto Sans CJK SC"/>
        <family val="2"/>
      </rPr>
      <t xml:space="preserve">기어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속도</t>
    </r>
  </si>
  <si>
    <t xml:space="preserve">전후 단위 혼동</t>
  </si>
  <si>
    <r>
      <rPr>
        <sz val="10"/>
        <rFont val="Noto Sans CJK SC"/>
        <family val="2"/>
      </rPr>
      <t xml:space="preserve">차체 </t>
    </r>
    <r>
      <rPr>
        <sz val="10"/>
        <rFont val="Arial"/>
        <family val="0"/>
        <charset val="1"/>
      </rPr>
      <t xml:space="preserve">0.95 m/s</t>
    </r>
  </si>
  <si>
    <r>
      <rPr>
        <sz val="10"/>
        <rFont val="Arial"/>
        <family val="0"/>
        <charset val="1"/>
      </rPr>
      <t xml:space="preserve">RPM·</t>
    </r>
    <r>
      <rPr>
        <sz val="10"/>
        <rFont val="Noto Sans CJK SC"/>
        <family val="2"/>
      </rPr>
      <t xml:space="preserve">반경 확인</t>
    </r>
  </si>
  <si>
    <t xml:space="preserve">급제동</t>
  </si>
  <si>
    <t xml:space="preserve">차체 기울기</t>
  </si>
  <si>
    <r>
      <rPr>
        <sz val="10"/>
        <rFont val="Noto Sans CJK SC"/>
        <family val="2"/>
      </rPr>
      <t xml:space="preserve">바퀴 </t>
    </r>
    <r>
      <rPr>
        <sz val="10"/>
        <rFont val="Arial"/>
        <family val="0"/>
        <charset val="1"/>
      </rPr>
      <t xml:space="preserve">slew </t>
    </r>
    <r>
      <rPr>
        <sz val="10"/>
        <rFont val="Noto Sans CJK SC"/>
        <family val="2"/>
      </rPr>
      <t xml:space="preserve">제한</t>
    </r>
  </si>
  <si>
    <r>
      <rPr>
        <sz val="10"/>
        <rFont val="Noto Sans CJK SC"/>
        <family val="2"/>
      </rPr>
      <t xml:space="preserve">정지거리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전류</t>
    </r>
  </si>
  <si>
    <t xml:space="preserve">코너 속도</t>
  </si>
  <si>
    <t xml:space="preserve">조향 중 경로 이탈</t>
  </si>
  <si>
    <r>
      <rPr>
        <sz val="10"/>
        <rFont val="Noto Sans CJK SC"/>
        <family val="2"/>
      </rPr>
      <t xml:space="preserve">곡률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제동 제한</t>
    </r>
  </si>
  <si>
    <r>
      <rPr>
        <sz val="10"/>
        <rFont val="Noto Sans CJK SC"/>
        <family val="2"/>
      </rPr>
      <t xml:space="preserve">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접촉 비교</t>
    </r>
  </si>
  <si>
    <t xml:space="preserve">정지 중 회전</t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</si>
  <si>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속도 방향 계산</t>
    </r>
  </si>
  <si>
    <r>
      <rPr>
        <sz val="10"/>
        <rFont val="Noto Sans CJK SC"/>
        <family val="2"/>
      </rPr>
      <t xml:space="preserve">조향 유지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감속</t>
    </r>
  </si>
  <si>
    <t xml:space="preserve">재정렬 감소</t>
  </si>
  <si>
    <t xml:space="preserve">비대칭 가속</t>
  </si>
  <si>
    <t xml:space="preserve">모듈별 정렬 차이</t>
  </si>
  <si>
    <t xml:space="preserve">감속→동시 정렬</t>
  </si>
  <si>
    <r>
      <rPr>
        <sz val="10"/>
        <rFont val="Arial"/>
        <family val="0"/>
        <charset val="1"/>
      </rPr>
      <t xml:space="preserve">yaw·</t>
    </r>
    <r>
      <rPr>
        <sz val="10"/>
        <rFont val="Noto Sans CJK SC"/>
        <family val="2"/>
      </rPr>
      <t xml:space="preserve">이탈 검사</t>
    </r>
  </si>
  <si>
    <r>
      <rPr>
        <sz val="10"/>
        <rFont val="Arial"/>
        <family val="0"/>
        <charset val="1"/>
      </rPr>
      <t xml:space="preserve">180° </t>
    </r>
    <r>
      <rPr>
        <sz val="10"/>
        <rFont val="Noto Sans CJK SC"/>
        <family val="2"/>
      </rPr>
      <t xml:space="preserve">분기</t>
    </r>
  </si>
  <si>
    <t xml:space="preserve">임시 조향 끝단</t>
  </si>
  <si>
    <r>
      <rPr>
        <sz val="10"/>
        <rFont val="Noto Sans CJK SC"/>
        <family val="2"/>
      </rPr>
      <t xml:space="preserve">차체 </t>
    </r>
    <r>
      <rPr>
        <sz val="10"/>
        <rFont val="Arial"/>
        <family val="0"/>
        <charset val="1"/>
      </rPr>
      <t xml:space="preserve">yaw −45°</t>
    </r>
  </si>
  <si>
    <t xml:space="preserve">실물 범위 실측</t>
  </si>
  <si>
    <r>
      <rPr>
        <sz val="10"/>
        <rFont val="Noto Sans CJK SC"/>
        <family val="2"/>
      </rPr>
      <t xml:space="preserve">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차체 정지</t>
    </r>
  </si>
  <si>
    <t xml:space="preserve">시야 제어 결합</t>
  </si>
  <si>
    <t xml:space="preserve">평소 동시 제어</t>
  </si>
  <si>
    <t xml:space="preserve">오류 재획득 예외</t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</si>
  <si>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50] </t>
    </r>
    <r>
      <rPr>
        <b val="true"/>
        <sz val="14"/>
        <rFont val="Noto Sans CJK SC"/>
        <family val="2"/>
      </rPr>
      <t xml:space="preserve">두 미로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실제 영상 폐루프 검증</t>
    </r>
  </si>
  <si>
    <t xml:space="preserve">실행</t>
  </si>
  <si>
    <t xml:space="preserve">미로</t>
  </si>
  <si>
    <r>
      <rPr>
        <b val="true"/>
        <sz val="10"/>
        <color rgb="FFFFFFFF"/>
        <rFont val="Noto Sans CJK SC"/>
        <family val="2"/>
      </rPr>
      <t xml:space="preserve">완주 시간 </t>
    </r>
    <r>
      <rPr>
        <b val="true"/>
        <sz val="10"/>
        <color rgb="FFFFFFFF"/>
        <rFont val="Arial"/>
        <family val="0"/>
        <charset val="1"/>
      </rPr>
      <t xml:space="preserve">(s)</t>
    </r>
  </si>
  <si>
    <t xml:space="preserve">실시간 배율</t>
  </si>
  <si>
    <r>
      <rPr>
        <b val="true"/>
        <sz val="10"/>
        <color rgb="FFFFFFFF"/>
        <rFont val="Noto Sans CJK SC"/>
        <family val="2"/>
      </rPr>
      <t xml:space="preserve">최고 속도 </t>
    </r>
    <r>
      <rPr>
        <b val="true"/>
        <sz val="10"/>
        <color rgb="FFFFFFFF"/>
        <rFont val="Arial"/>
        <family val="0"/>
        <charset val="1"/>
      </rPr>
      <t xml:space="preserve">(m/s)</t>
    </r>
  </si>
  <si>
    <r>
      <rPr>
        <b val="true"/>
        <sz val="10"/>
        <color rgb="FFFFFFFF"/>
        <rFont val="Noto Sans CJK SC"/>
        <family val="2"/>
      </rPr>
      <t xml:space="preserve">목표 오차 </t>
    </r>
    <r>
      <rPr>
        <b val="true"/>
        <sz val="10"/>
        <color rgb="FFFFFFFF"/>
        <rFont val="Arial"/>
        <family val="0"/>
        <charset val="1"/>
      </rPr>
      <t xml:space="preserve">(cm)</t>
    </r>
  </si>
  <si>
    <r>
      <rPr>
        <b val="true"/>
        <sz val="10"/>
        <color rgb="FFFFFFFF"/>
        <rFont val="Noto Sans CJK SC"/>
        <family val="2"/>
      </rPr>
      <t xml:space="preserve">비바퀴 접촉 </t>
    </r>
    <r>
      <rPr>
        <b val="true"/>
        <sz val="10"/>
        <color rgb="FFFFFFFF"/>
        <rFont val="Arial"/>
        <family val="0"/>
        <charset val="1"/>
      </rPr>
      <t xml:space="preserve">(N)</t>
    </r>
  </si>
  <si>
    <r>
      <rPr>
        <b val="true"/>
        <sz val="10"/>
        <color rgb="FFFFFFFF"/>
        <rFont val="Noto Sans CJK SC"/>
        <family val="2"/>
      </rPr>
      <t xml:space="preserve">판정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자동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</si>
  <si>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근거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로그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영상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</si>
  <si>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예시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첫 미로 </t>
    </r>
    <r>
      <rPr>
        <sz val="10"/>
        <rFont val="Arial"/>
        <family val="0"/>
        <charset val="1"/>
      </rPr>
      <t xml:space="preserve">GUI 1</t>
    </r>
  </si>
  <si>
    <t xml:space="preserve">첫 미로</t>
  </si>
  <si>
    <r>
      <rPr>
        <sz val="10"/>
        <rFont val="Noto Sans CJK SC"/>
        <family val="2"/>
      </rPr>
      <t xml:space="preserve">예시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첫 미로 </t>
    </r>
    <r>
      <rPr>
        <sz val="10"/>
        <rFont val="Arial"/>
        <family val="0"/>
        <charset val="1"/>
      </rPr>
      <t xml:space="preserve">GUI 2</t>
    </r>
  </si>
  <si>
    <r>
      <rPr>
        <sz val="10"/>
        <rFont val="Noto Sans CJK SC"/>
        <family val="2"/>
      </rPr>
      <t xml:space="preserve">예시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두 번째 미로</t>
    </r>
  </si>
  <si>
    <t xml:space="preserve">두 번째 미로</t>
  </si>
  <si>
    <r>
      <rPr>
        <sz val="10"/>
        <rFont val="Noto Sans CJK SC"/>
        <family val="2"/>
      </rPr>
      <t xml:space="preserve">우리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</si>
  <si>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우리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</si>
  <si>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우리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</si>
  <si>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우리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</si>
  <si>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우리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</si>
  <si>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우리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</si>
  <si>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우리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</si>
  <si>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우리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</si>
  <si>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우리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</si>
  <si>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우리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</si>
  <si>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우리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</si>
  <si>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우리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회</t>
    </r>
  </si>
  <si>
    <r>
      <rPr>
        <i val="true"/>
        <sz val="9"/>
        <color rgb="FF666666"/>
        <rFont val="Noto Sans CJK SC"/>
        <family val="2"/>
      </rPr>
      <t xml:space="preserve">판정은 「</t>
    </r>
    <r>
      <rPr>
        <i val="true"/>
        <sz val="9"/>
        <color rgb="FF666666"/>
        <rFont val="Arial"/>
        <family val="0"/>
        <charset val="1"/>
      </rPr>
      <t xml:space="preserve">02_</t>
    </r>
    <r>
      <rPr>
        <i val="true"/>
        <sz val="9"/>
        <color rgb="FF666666"/>
        <rFont val="Noto Sans CJK SC"/>
        <family val="2"/>
      </rPr>
      <t xml:space="preserve">완료기준」의 목표값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오차 </t>
    </r>
    <r>
      <rPr>
        <i val="true"/>
        <sz val="9"/>
        <color rgb="FF666666"/>
        <rFont val="Arial"/>
        <family val="0"/>
        <charset val="1"/>
      </rPr>
      <t xml:space="preserve">&lt; 0.10 m, </t>
    </r>
    <r>
      <rPr>
        <i val="true"/>
        <sz val="9"/>
        <color rgb="FF666666"/>
        <rFont val="Noto Sans CJK SC"/>
        <family val="2"/>
      </rPr>
      <t xml:space="preserve">속도 ≤ </t>
    </r>
    <r>
      <rPr>
        <i val="true"/>
        <sz val="9"/>
        <color rgb="FF666666"/>
        <rFont val="Arial"/>
        <family val="0"/>
        <charset val="1"/>
      </rPr>
      <t xml:space="preserve">0.951 m/s, </t>
    </r>
    <r>
      <rPr>
        <i val="true"/>
        <sz val="9"/>
        <color rgb="FF666666"/>
        <rFont val="Noto Sans CJK SC"/>
        <family val="2"/>
      </rPr>
      <t xml:space="preserve">접촉 ≤ </t>
    </r>
    <r>
      <rPr>
        <i val="true"/>
        <sz val="9"/>
        <color rgb="FF666666"/>
        <rFont val="Arial"/>
        <family val="0"/>
        <charset val="1"/>
      </rPr>
      <t xml:space="preserve">0.5 N)</t>
    </r>
    <r>
      <rPr>
        <i val="true"/>
        <sz val="9"/>
        <color rgb="FF666666"/>
        <rFont val="Noto Sans CJK SC"/>
        <family val="2"/>
      </rPr>
      <t xml:space="preserve">으로 자동 계산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회색 </t>
    </r>
    <r>
      <rPr>
        <i val="true"/>
        <sz val="9"/>
        <color rgb="FF666666"/>
        <rFont val="Arial"/>
        <family val="0"/>
        <charset val="1"/>
      </rPr>
      <t xml:space="preserve">3</t>
    </r>
    <r>
      <rPr>
        <i val="true"/>
        <sz val="9"/>
        <color rgb="FF666666"/>
        <rFont val="Noto Sans CJK SC"/>
        <family val="2"/>
      </rPr>
      <t xml:space="preserve">행은 슬라이드 시연 결과</t>
    </r>
    <r>
      <rPr>
        <i val="true"/>
        <sz val="9"/>
        <color rgb="FF666666"/>
        <rFont val="Arial"/>
        <family val="0"/>
        <charset val="1"/>
      </rPr>
      <t xml:space="preserve">(2026-10-26, v5 PPO + EKF·AMCL)</t>
    </r>
  </si>
  <si>
    <r>
      <rPr>
        <b val="true"/>
        <sz val="14"/>
        <rFont val="Arial"/>
        <family val="0"/>
        <charset val="1"/>
      </rPr>
      <t xml:space="preserve">[</t>
    </r>
    <r>
      <rPr>
        <b val="true"/>
        <sz val="14"/>
        <rFont val="Noto Sans CJK SC"/>
        <family val="2"/>
      </rPr>
      <t xml:space="preserve">슬라이드 </t>
    </r>
    <r>
      <rPr>
        <b val="true"/>
        <sz val="14"/>
        <rFont val="Arial"/>
        <family val="0"/>
        <charset val="1"/>
      </rPr>
      <t xml:space="preserve">51] </t>
    </r>
    <r>
      <rPr>
        <b val="true"/>
        <sz val="14"/>
        <rFont val="Noto Sans CJK SC"/>
        <family val="2"/>
      </rPr>
      <t xml:space="preserve">센서 누락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정지와 추적 재획득</t>
    </r>
  </si>
  <si>
    <t xml:space="preserve">시험</t>
  </si>
  <si>
    <t xml:space="preserve">누락 조건</t>
  </si>
  <si>
    <r>
      <rPr>
        <b val="true"/>
        <sz val="10"/>
        <color rgb="FFFFFFFF"/>
        <rFont val="Noto Sans CJK SC"/>
        <family val="2"/>
      </rPr>
      <t xml:space="preserve">정지까지 시간 </t>
    </r>
    <r>
      <rPr>
        <b val="true"/>
        <sz val="10"/>
        <color rgb="FFFFFFFF"/>
        <rFont val="Arial"/>
        <family val="0"/>
        <charset val="1"/>
      </rPr>
      <t xml:space="preserve">(s)</t>
    </r>
  </si>
  <si>
    <r>
      <rPr>
        <b val="true"/>
        <sz val="10"/>
        <color rgb="FFFFFFFF"/>
        <rFont val="Noto Sans CJK SC"/>
        <family val="2"/>
      </rPr>
      <t xml:space="preserve">재개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재획득</t>
    </r>
  </si>
  <si>
    <r>
      <rPr>
        <b val="true"/>
        <sz val="10"/>
        <color rgb="FFFFFFFF"/>
        <rFont val="Noto Sans CJK SC"/>
        <family val="2"/>
      </rPr>
      <t xml:space="preserve">접촉 </t>
    </r>
    <r>
      <rPr>
        <b val="true"/>
        <sz val="10"/>
        <color rgb="FFFFFFFF"/>
        <rFont val="Arial"/>
        <family val="0"/>
        <charset val="1"/>
      </rPr>
      <t xml:space="preserve">(N)</t>
    </r>
  </si>
  <si>
    <r>
      <rPr>
        <b val="true"/>
        <sz val="10"/>
        <color rgb="FFFFFFFF"/>
        <rFont val="Noto Sans CJK SC"/>
        <family val="2"/>
      </rPr>
      <t xml:space="preserve">측정 방법</t>
    </r>
    <r>
      <rPr>
        <b val="true"/>
        <sz val="10"/>
        <color rgb="FFFFFFFF"/>
        <rFont val="Arial"/>
        <family val="0"/>
        <charset val="1"/>
      </rPr>
      <t xml:space="preserve">(ROS </t>
    </r>
    <r>
      <rPr>
        <b val="true"/>
        <sz val="10"/>
        <color rgb="FFFFFFFF"/>
        <rFont val="Noto Sans CJK SC"/>
        <family val="2"/>
      </rPr>
      <t xml:space="preserve">주입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실물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</si>
  <si>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예시</t>
    </r>
    <r>
      <rPr>
        <sz val="10"/>
        <rFont val="Arial"/>
        <family val="0"/>
        <charset val="1"/>
      </rPr>
      <t xml:space="preserve">: IMU 2 </t>
    </r>
    <r>
      <rPr>
        <sz val="10"/>
        <rFont val="Noto Sans CJK SC"/>
        <family val="2"/>
      </rPr>
      <t xml:space="preserve">누락</t>
    </r>
  </si>
  <si>
    <r>
      <rPr>
        <sz val="10"/>
        <rFont val="Arial"/>
        <family val="0"/>
        <charset val="1"/>
      </rPr>
      <t xml:space="preserve">4 s</t>
    </r>
    <r>
      <rPr>
        <sz val="10"/>
        <rFont val="Noto Sans CJK SC"/>
        <family val="2"/>
      </rPr>
      <t xml:space="preserve">부터 </t>
    </r>
    <r>
      <rPr>
        <sz val="10"/>
        <rFont val="Arial"/>
        <family val="0"/>
        <charset val="1"/>
      </rPr>
      <t xml:space="preserve">2 s </t>
    </r>
    <r>
      <rPr>
        <sz val="10"/>
        <rFont val="Noto Sans CJK SC"/>
        <family val="2"/>
      </rPr>
      <t xml:space="preserve">누락</t>
    </r>
  </si>
  <si>
    <r>
      <rPr>
        <sz val="10"/>
        <rFont val="Noto Sans CJK SC"/>
        <family val="2"/>
      </rPr>
      <t xml:space="preserve">정지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</t>
    </r>
  </si>
  <si>
    <r>
      <rPr>
        <sz val="10"/>
        <rFont val="Arial"/>
        <family val="0"/>
        <charset val="1"/>
      </rPr>
      <t xml:space="preserve">ROS </t>
    </r>
    <r>
      <rPr>
        <sz val="10"/>
        <rFont val="Noto Sans CJK SC"/>
        <family val="2"/>
      </rPr>
      <t xml:space="preserve">주입 오류 시험</t>
    </r>
  </si>
  <si>
    <r>
      <rPr>
        <sz val="10"/>
        <rFont val="Noto Sans CJK SC"/>
        <family val="2"/>
      </rPr>
      <t xml:space="preserve">예시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카메라 누락</t>
    </r>
  </si>
  <si>
    <r>
      <rPr>
        <sz val="10"/>
        <rFont val="Arial"/>
        <family val="0"/>
        <charset val="1"/>
      </rPr>
      <t xml:space="preserve">4 s</t>
    </r>
    <r>
      <rPr>
        <sz val="10"/>
        <rFont val="Noto Sans CJK SC"/>
        <family val="2"/>
      </rPr>
      <t xml:space="preserve">부터 </t>
    </r>
    <r>
      <rPr>
        <sz val="10"/>
        <rFont val="Arial"/>
        <family val="0"/>
        <charset val="1"/>
      </rPr>
      <t xml:space="preserve">2.5 s </t>
    </r>
    <r>
      <rPr>
        <sz val="10"/>
        <rFont val="Noto Sans CJK SC"/>
        <family val="2"/>
      </rPr>
      <t xml:space="preserve">누락</t>
    </r>
  </si>
  <si>
    <r>
      <rPr>
        <sz val="10"/>
        <rFont val="Noto Sans CJK SC"/>
        <family val="2"/>
      </rPr>
      <t xml:space="preserve">예시</t>
    </r>
    <r>
      <rPr>
        <sz val="10"/>
        <rFont val="Arial"/>
        <family val="0"/>
        <charset val="1"/>
      </rPr>
      <t xml:space="preserve">: VO </t>
    </r>
    <r>
      <rPr>
        <sz val="10"/>
        <rFont val="Noto Sans CJK SC"/>
        <family val="2"/>
      </rPr>
      <t xml:space="preserve">재획득</t>
    </r>
  </si>
  <si>
    <r>
      <rPr>
        <sz val="10"/>
        <rFont val="Noto Sans CJK SC"/>
        <family val="2"/>
      </rPr>
      <t xml:space="preserve">정지 확인 → </t>
    </r>
    <r>
      <rPr>
        <sz val="10"/>
        <rFont val="Arial"/>
        <family val="0"/>
        <charset val="1"/>
      </rPr>
      <t xml:space="preserve">reset → </t>
    </r>
    <r>
      <rPr>
        <sz val="10"/>
        <rFont val="Noto Sans CJK SC"/>
        <family val="2"/>
      </rPr>
      <t xml:space="preserve">안정</t>
    </r>
  </si>
  <si>
    <r>
      <rPr>
        <sz val="10"/>
        <rFont val="Noto Sans CJK SC"/>
        <family val="2"/>
      </rPr>
      <t xml:space="preserve">카메라 시험 </t>
    </r>
    <r>
      <rPr>
        <sz val="10"/>
        <rFont val="Arial"/>
        <family val="0"/>
        <charset val="1"/>
      </rPr>
      <t xml:space="preserve">reset 1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, EKF </t>
    </r>
    <r>
      <rPr>
        <sz val="10"/>
        <rFont val="Noto Sans CJK SC"/>
        <family val="2"/>
      </rPr>
      <t xml:space="preserve">증분으로 좌표 연결</t>
    </r>
  </si>
  <si>
    <r>
      <rPr>
        <sz val="10"/>
        <rFont val="Arial"/>
        <family val="0"/>
        <charset val="1"/>
      </rPr>
      <t xml:space="preserve">IMU 1 </t>
    </r>
    <r>
      <rPr>
        <sz val="10"/>
        <rFont val="Noto Sans CJK SC"/>
        <family val="2"/>
      </rPr>
      <t xml:space="preserve">누락</t>
    </r>
  </si>
  <si>
    <r>
      <rPr>
        <sz val="10"/>
        <rFont val="Arial"/>
        <family val="0"/>
        <charset val="1"/>
      </rPr>
      <t xml:space="preserve">IMU 2 </t>
    </r>
    <r>
      <rPr>
        <sz val="10"/>
        <rFont val="Noto Sans CJK SC"/>
        <family val="2"/>
      </rPr>
      <t xml:space="preserve">누락</t>
    </r>
  </si>
  <si>
    <t xml:space="preserve">카메라 누락</t>
  </si>
  <si>
    <r>
      <rPr>
        <sz val="10"/>
        <rFont val="Arial"/>
        <family val="0"/>
        <charset val="1"/>
      </rPr>
      <t xml:space="preserve">VO </t>
    </r>
    <r>
      <rPr>
        <sz val="10"/>
        <rFont val="Noto Sans CJK SC"/>
        <family val="2"/>
      </rPr>
      <t xml:space="preserve">재획득</t>
    </r>
  </si>
  <si>
    <t xml:space="preserve">엔코더 누락</t>
  </si>
  <si>
    <r>
      <rPr>
        <sz val="10"/>
        <rFont val="Noto Sans CJK SC"/>
        <family val="2"/>
      </rPr>
      <t xml:space="preserve">라이다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깊이 </t>
    </r>
    <r>
      <rPr>
        <sz val="10"/>
        <rFont val="Arial"/>
        <family val="0"/>
        <charset val="1"/>
      </rPr>
      <t xml:space="preserve">scan </t>
    </r>
    <r>
      <rPr>
        <sz val="10"/>
        <rFont val="Noto Sans CJK SC"/>
        <family val="2"/>
      </rPr>
      <t xml:space="preserve">누락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</si>
  <si>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추가 시험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</si>
</sst>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u val="single"/>
      <sz val="10"/>
      <color rgb="FF1565C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37474F"/>
        <bgColor rgb="FF333399"/>
      </patternFill>
    </fill>
    <fill>
      <patternFill patternType="solid">
        <fgColor rgb="FFFFF9C4"/>
        <bgColor rgb="FFFFFF99"/>
      </patternFill>
    </fill>
    <fill>
      <patternFill patternType="solid">
        <fgColor rgb="FF8D6E00"/>
        <bgColor rgb="FF6666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D6E00"/>
      <rgbColor rgb="FF800080"/>
      <rgbColor rgb="FF008080"/>
      <rgbColor rgb="FFBFBFBF"/>
      <rgbColor rgb="FF808080"/>
      <rgbColor rgb="FF9999FF"/>
      <rgbColor rgb="FF993366"/>
      <rgbColor rgb="FFFFF9C4"/>
      <rgbColor rgb="FFF2F2F2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&#48120;&#47196;&#51452;&#54665;&#49892;&#49845;_&#44288;&#52272;&#44592;&#47197;&#54364;.xlsx" TargetMode="External"/><Relationship Id="rId2" Type="http://schemas.openxmlformats.org/officeDocument/2006/relationships/hyperlink" Target="&#48120;&#47196;&#51452;&#54665;&#49892;&#49845;_&#44288;&#52272;&#44592;&#47197;&#54364;.xlsx" TargetMode="External"/><Relationship Id="rId3" Type="http://schemas.openxmlformats.org/officeDocument/2006/relationships/hyperlink" Target="&#48120;&#47196;&#51452;&#54665;&#49892;&#49845;_&#44288;&#52272;&#44592;&#47197;&#54364;.xlsx" TargetMode="External"/><Relationship Id="rId4" Type="http://schemas.openxmlformats.org/officeDocument/2006/relationships/hyperlink" Target="&#48120;&#47196;&#51452;&#54665;&#49892;&#49845;_&#44288;&#52272;&#44592;&#47197;&#54364;.xlsx" TargetMode="External"/><Relationship Id="rId5" Type="http://schemas.openxmlformats.org/officeDocument/2006/relationships/hyperlink" Target="&#48120;&#47196;&#51452;&#54665;&#49892;&#49845;_&#44288;&#52272;&#44592;&#47197;&#54364;.xlsx" TargetMode="External"/><Relationship Id="rId6" Type="http://schemas.openxmlformats.org/officeDocument/2006/relationships/hyperlink" Target="&#48120;&#47196;&#51452;&#54665;&#49892;&#49845;_&#44288;&#52272;&#44592;&#47197;&#54364;.xlsx" TargetMode="External"/><Relationship Id="rId7" Type="http://schemas.openxmlformats.org/officeDocument/2006/relationships/hyperlink" Target="&#48120;&#47196;&#51452;&#54665;&#49892;&#49845;_&#44288;&#52272;&#44592;&#47197;&#54364;.xlsx" TargetMode="External"/><Relationship Id="rId8" Type="http://schemas.openxmlformats.org/officeDocument/2006/relationships/hyperlink" Target="&#48120;&#47196;&#51452;&#54665;&#49892;&#49845;_&#44288;&#52272;&#44592;&#47197;&#54364;.xlsx" TargetMode="External"/><Relationship Id="rId9" Type="http://schemas.openxmlformats.org/officeDocument/2006/relationships/hyperlink" Target="&#48120;&#47196;&#51452;&#54665;&#49892;&#49845;_&#44288;&#52272;&#44592;&#47197;&#54364;.xlsx" TargetMode="External"/><Relationship Id="rId10" Type="http://schemas.openxmlformats.org/officeDocument/2006/relationships/hyperlink" Target="&#48120;&#47196;&#51452;&#54665;&#49892;&#49845;_&#44288;&#52272;&#44592;&#47197;&#54364;.xlsx" TargetMode="External"/><Relationship Id="rId11" Type="http://schemas.openxmlformats.org/officeDocument/2006/relationships/hyperlink" Target="&#48120;&#47196;&#51452;&#54665;&#49892;&#49845;_&#44288;&#52272;&#44592;&#47197;&#54364;.xlsx" TargetMode="External"/><Relationship Id="rId12" Type="http://schemas.openxmlformats.org/officeDocument/2006/relationships/hyperlink" Target="&#48120;&#47196;&#51452;&#54665;&#49892;&#49845;_&#44288;&#52272;&#44592;&#47197;&#54364;.xlsx" TargetMode="External"/><Relationship Id="rId13" Type="http://schemas.openxmlformats.org/officeDocument/2006/relationships/hyperlink" Target="&#48120;&#47196;&#51452;&#54665;&#49892;&#49845;_&#44288;&#52272;&#44592;&#47197;&#54364;.xlsx" TargetMode="External"/><Relationship Id="rId14" Type="http://schemas.openxmlformats.org/officeDocument/2006/relationships/hyperlink" Target="&#48120;&#47196;&#51452;&#54665;&#49892;&#49845;_&#44288;&#52272;&#44592;&#47197;&#54364;.xlsx" TargetMode="External"/><Relationship Id="rId15" Type="http://schemas.openxmlformats.org/officeDocument/2006/relationships/hyperlink" Target="&#48120;&#47196;&#51452;&#54665;&#49892;&#49845;_&#44288;&#52272;&#44592;&#47197;&#54364;.xlsx" TargetMode="External"/><Relationship Id="rId16" Type="http://schemas.openxmlformats.org/officeDocument/2006/relationships/hyperlink" Target="&#48120;&#47196;&#51452;&#54665;&#49892;&#49845;_&#44288;&#52272;&#44592;&#47197;&#54364;.xlsx" TargetMode="External"/><Relationship Id="rId17" Type="http://schemas.openxmlformats.org/officeDocument/2006/relationships/hyperlink" Target="&#48120;&#47196;&#51452;&#54665;&#49892;&#49845;_&#44288;&#52272;&#44592;&#47197;&#54364;.xlsx" TargetMode="External"/><Relationship Id="rId18" Type="http://schemas.openxmlformats.org/officeDocument/2006/relationships/hyperlink" Target="&#48120;&#47196;&#51452;&#54665;&#49892;&#49845;_&#44288;&#52272;&#44592;&#47197;&#54364;.xlsx" TargetMode="External"/><Relationship Id="rId19" Type="http://schemas.openxmlformats.org/officeDocument/2006/relationships/hyperlink" Target="&#48120;&#47196;&#51452;&#54665;&#49892;&#49845;_&#44288;&#52272;&#44592;&#47197;&#54364;.xlsx" TargetMode="External"/><Relationship Id="rId20" Type="http://schemas.openxmlformats.org/officeDocument/2006/relationships/hyperlink" Target="&#48120;&#47196;&#51452;&#54665;&#49892;&#49845;_&#44288;&#52272;&#44592;&#47197;&#54364;.xlsx" TargetMode="External"/><Relationship Id="rId21" Type="http://schemas.openxmlformats.org/officeDocument/2006/relationships/hyperlink" Target="&#48120;&#47196;&#51452;&#54665;&#49892;&#49845;_&#44288;&#52272;&#44592;&#47197;&#54364;.xlsx" TargetMode="External"/><Relationship Id="rId22" Type="http://schemas.openxmlformats.org/officeDocument/2006/relationships/hyperlink" Target="&#48120;&#47196;&#51452;&#54665;&#49892;&#49845;_&#44288;&#52272;&#44592;&#47197;&#54364;.xlsx" TargetMode="External"/><Relationship Id="rId23" Type="http://schemas.openxmlformats.org/officeDocument/2006/relationships/hyperlink" Target="&#48120;&#47196;&#51452;&#54665;&#49892;&#49845;_&#44288;&#52272;&#44592;&#47197;&#54364;.xlsx" TargetMode="External"/><Relationship Id="rId24" Type="http://schemas.openxmlformats.org/officeDocument/2006/relationships/hyperlink" Target="&#48120;&#47196;&#51452;&#54665;&#49892;&#49845;_&#44288;&#52272;&#44592;&#47197;&#54364;.xlsx" TargetMode="External"/><Relationship Id="rId25" Type="http://schemas.openxmlformats.org/officeDocument/2006/relationships/hyperlink" Target="&#48120;&#47196;&#51452;&#54665;&#49892;&#49845;_&#44288;&#52272;&#44592;&#47197;&#54364;.xlsx" TargetMode="External"/><Relationship Id="rId26" Type="http://schemas.openxmlformats.org/officeDocument/2006/relationships/hyperlink" Target="&#48120;&#47196;&#51452;&#54665;&#49892;&#49845;_&#44288;&#52272;&#44592;&#47197;&#54364;.xlsx" TargetMode="External"/><Relationship Id="rId27" Type="http://schemas.openxmlformats.org/officeDocument/2006/relationships/hyperlink" Target="&#48120;&#47196;&#51452;&#54665;&#49892;&#49845;_&#44288;&#52272;&#44592;&#47197;&#54364;.xlsx" TargetMode="External"/><Relationship Id="rId28" Type="http://schemas.openxmlformats.org/officeDocument/2006/relationships/hyperlink" Target="&#48120;&#47196;&#51452;&#54665;&#49892;&#49845;_&#44288;&#52272;&#44592;&#47197;&#54364;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14</v>
      </c>
      <c r="F13" s="5" t="s">
        <v>15</v>
      </c>
      <c r="G13" s="5" t="s">
        <v>16</v>
      </c>
      <c r="H13" s="5" t="s">
        <v>17</v>
      </c>
      <c r="I13" s="5" t="s">
        <v>18</v>
      </c>
    </row>
    <row r="14" customFormat="false" ht="29.85" hidden="false" customHeight="false" outlineLevel="0" collapsed="false">
      <c r="A14" s="6" t="s">
        <v>19</v>
      </c>
      <c r="B14" s="7" t="s">
        <v>20</v>
      </c>
      <c r="C14" s="7" t="s">
        <v>21</v>
      </c>
      <c r="D14" s="7" t="s">
        <v>22</v>
      </c>
      <c r="E14" s="7" t="s">
        <v>23</v>
      </c>
      <c r="F14" s="6" t="s">
        <v>24</v>
      </c>
      <c r="G14" s="7" t="s">
        <v>25</v>
      </c>
      <c r="H14" s="6" t="s">
        <v>26</v>
      </c>
      <c r="I14" s="7" t="s">
        <v>27</v>
      </c>
    </row>
    <row r="17" customFormat="false" ht="15" hidden="false" customHeight="false" outlineLevel="0" collapsed="false">
      <c r="A17" s="3" t="s">
        <v>28</v>
      </c>
    </row>
    <row r="18" customFormat="false" ht="15" hidden="false" customHeight="false" outlineLevel="0" collapsed="false">
      <c r="A18" s="5" t="s">
        <v>10</v>
      </c>
      <c r="B18" s="5" t="s">
        <v>29</v>
      </c>
      <c r="C18" s="5" t="s">
        <v>30</v>
      </c>
      <c r="D18" s="5" t="s">
        <v>31</v>
      </c>
      <c r="E18" s="5" t="s">
        <v>32</v>
      </c>
      <c r="F18" s="5" t="s">
        <v>23</v>
      </c>
      <c r="G18" s="5" t="s">
        <v>33</v>
      </c>
      <c r="H18" s="5" t="s">
        <v>34</v>
      </c>
      <c r="I18" s="5" t="s">
        <v>35</v>
      </c>
    </row>
    <row r="19" customFormat="false" ht="15" hidden="false" customHeight="false" outlineLevel="0" collapsed="false">
      <c r="A19" s="8" t="s">
        <v>36</v>
      </c>
      <c r="B19" s="9" t="n">
        <v>2</v>
      </c>
      <c r="C19" s="10" t="s">
        <v>37</v>
      </c>
      <c r="D19" s="10" t="n">
        <v>6</v>
      </c>
      <c r="E19" s="10" t="n">
        <f aca="false">COUNTIF(02_완료기준!$E$5:$E$10,"통과")</f>
        <v>0</v>
      </c>
      <c r="F19" s="10" t="n">
        <f aca="false">COUNTIF(02_완료기준!$E$5:$E$10,"보류")</f>
        <v>0</v>
      </c>
      <c r="G19" s="10" t="n">
        <f aca="false">COUNTIF(02_완료기준!$E$5:$E$10,"실패")</f>
        <v>0</v>
      </c>
      <c r="H19" s="10" t="n">
        <f aca="false">COUNTIF(02_완료기준!$E$5:$E$10,"미측정")</f>
        <v>0</v>
      </c>
      <c r="I19" s="11" t="n">
        <f aca="false">IFERROR((E19+F19+G19+H19)/D19,0)</f>
        <v>0</v>
      </c>
    </row>
    <row r="20" customFormat="false" ht="15" hidden="false" customHeight="false" outlineLevel="0" collapsed="false">
      <c r="A20" s="8" t="s">
        <v>38</v>
      </c>
      <c r="B20" s="10" t="n">
        <v>7</v>
      </c>
      <c r="C20" s="10" t="s">
        <v>39</v>
      </c>
      <c r="D20" s="10" t="n">
        <v>4</v>
      </c>
      <c r="E20" s="10" t="n">
        <f aca="false">COUNTIF(07_팀별변경!$G$5:$G$8,"통과")</f>
        <v>0</v>
      </c>
      <c r="F20" s="10" t="n">
        <f aca="false">COUNTIF(07_팀별변경!$G$5:$G$8,"보류")</f>
        <v>0</v>
      </c>
      <c r="G20" s="10" t="n">
        <f aca="false">COUNTIF(07_팀별변경!$G$5:$G$8,"실패")</f>
        <v>0</v>
      </c>
      <c r="H20" s="10" t="n">
        <f aca="false">COUNTIF(07_팀별변경!$G$5:$G$8,"미측정")</f>
        <v>0</v>
      </c>
      <c r="I20" s="11" t="n">
        <f aca="false">IFERROR((E20+F20+G20+H20)/D20,0)</f>
        <v>0</v>
      </c>
    </row>
    <row r="21" customFormat="false" ht="15" hidden="false" customHeight="false" outlineLevel="0" collapsed="false">
      <c r="A21" s="8" t="s">
        <v>40</v>
      </c>
      <c r="B21" s="10" t="n">
        <v>11</v>
      </c>
      <c r="C21" s="10" t="s">
        <v>41</v>
      </c>
      <c r="D21" s="10" t="n">
        <v>8</v>
      </c>
      <c r="E21" s="10" t="n">
        <f aca="false">COUNTIF(11_보상1!$G$5:$G$12,"통과")</f>
        <v>0</v>
      </c>
      <c r="F21" s="10" t="n">
        <f aca="false">COUNTIF(11_보상1!$G$5:$G$12,"보류")</f>
        <v>0</v>
      </c>
      <c r="G21" s="10" t="n">
        <f aca="false">COUNTIF(11_보상1!$G$5:$G$12,"실패")</f>
        <v>0</v>
      </c>
      <c r="H21" s="10" t="n">
        <f aca="false">COUNTIF(11_보상1!$G$5:$G$12,"미측정")</f>
        <v>0</v>
      </c>
      <c r="I21" s="11" t="n">
        <f aca="false">IFERROR((E21+F21+G21+H21)/D21,0)</f>
        <v>0</v>
      </c>
    </row>
    <row r="22" customFormat="false" ht="15" hidden="false" customHeight="false" outlineLevel="0" collapsed="false">
      <c r="A22" s="8" t="s">
        <v>42</v>
      </c>
      <c r="B22" s="10" t="n">
        <v>12</v>
      </c>
      <c r="C22" s="10" t="s">
        <v>43</v>
      </c>
      <c r="D22" s="10" t="n">
        <v>8</v>
      </c>
      <c r="E22" s="10" t="n">
        <f aca="false">COUNTIF(12_보상2!$G$5:$G$12,"통과")</f>
        <v>0</v>
      </c>
      <c r="F22" s="10" t="n">
        <f aca="false">COUNTIF(12_보상2!$G$5:$G$12,"보류")</f>
        <v>0</v>
      </c>
      <c r="G22" s="10" t="n">
        <f aca="false">COUNTIF(12_보상2!$G$5:$G$12,"실패")</f>
        <v>0</v>
      </c>
      <c r="H22" s="10" t="n">
        <f aca="false">COUNTIF(12_보상2!$G$5:$G$12,"미측정")</f>
        <v>0</v>
      </c>
      <c r="I22" s="11" t="n">
        <f aca="false">IFERROR((E22+F22+G22+H22)/D22,0)</f>
        <v>0</v>
      </c>
    </row>
    <row r="23" customFormat="false" ht="15" hidden="false" customHeight="false" outlineLevel="0" collapsed="false">
      <c r="A23" s="8" t="s">
        <v>44</v>
      </c>
      <c r="B23" s="10" t="n">
        <v>13</v>
      </c>
      <c r="C23" s="10" t="s">
        <v>45</v>
      </c>
      <c r="D23" s="10" t="n">
        <v>8</v>
      </c>
      <c r="E23" s="10" t="n">
        <f aca="false">COUNTIF(13_보상3!$G$5:$G$12,"통과")</f>
        <v>0</v>
      </c>
      <c r="F23" s="10" t="n">
        <f aca="false">COUNTIF(13_보상3!$G$5:$G$12,"보류")</f>
        <v>0</v>
      </c>
      <c r="G23" s="10" t="n">
        <f aca="false">COUNTIF(13_보상3!$G$5:$G$12,"실패")</f>
        <v>0</v>
      </c>
      <c r="H23" s="10" t="n">
        <f aca="false">COUNTIF(13_보상3!$G$5:$G$12,"미측정")</f>
        <v>0</v>
      </c>
      <c r="I23" s="11" t="n">
        <f aca="false">IFERROR((E23+F23+G23+H23)/D23,0)</f>
        <v>0</v>
      </c>
    </row>
    <row r="24" customFormat="false" ht="15" hidden="false" customHeight="false" outlineLevel="0" collapsed="false">
      <c r="A24" s="8" t="s">
        <v>46</v>
      </c>
      <c r="B24" s="10" t="n">
        <v>14</v>
      </c>
      <c r="C24" s="10" t="s">
        <v>47</v>
      </c>
      <c r="D24" s="10" t="n">
        <v>8</v>
      </c>
      <c r="E24" s="10" t="n">
        <f aca="false">COUNTIF(14_보상4!$G$5:$G$12,"통과")</f>
        <v>0</v>
      </c>
      <c r="F24" s="10" t="n">
        <f aca="false">COUNTIF(14_보상4!$G$5:$G$12,"보류")</f>
        <v>0</v>
      </c>
      <c r="G24" s="10" t="n">
        <f aca="false">COUNTIF(14_보상4!$G$5:$G$12,"실패")</f>
        <v>0</v>
      </c>
      <c r="H24" s="10" t="n">
        <f aca="false">COUNTIF(14_보상4!$G$5:$G$12,"미측정")</f>
        <v>0</v>
      </c>
      <c r="I24" s="11" t="n">
        <f aca="false">IFERROR((E24+F24+G24+H24)/D24,0)</f>
        <v>0</v>
      </c>
    </row>
    <row r="25" customFormat="false" ht="15" hidden="false" customHeight="false" outlineLevel="0" collapsed="false">
      <c r="A25" s="8" t="s">
        <v>48</v>
      </c>
      <c r="B25" s="10" t="n">
        <v>17</v>
      </c>
      <c r="C25" s="9" t="s">
        <v>49</v>
      </c>
      <c r="D25" s="10" t="n">
        <v>8</v>
      </c>
      <c r="E25" s="10" t="n">
        <f aca="false">COUNTIF(17_PPO1!$G$5:$G$12,"통과")</f>
        <v>0</v>
      </c>
      <c r="F25" s="10" t="n">
        <f aca="false">COUNTIF(17_PPO1!$G$5:$G$12,"보류")</f>
        <v>0</v>
      </c>
      <c r="G25" s="10" t="n">
        <f aca="false">COUNTIF(17_PPO1!$G$5:$G$12,"실패")</f>
        <v>0</v>
      </c>
      <c r="H25" s="10" t="n">
        <f aca="false">COUNTIF(17_PPO1!$G$5:$G$12,"미측정")</f>
        <v>0</v>
      </c>
      <c r="I25" s="11" t="n">
        <f aca="false">IFERROR((E25+F25+G25+H25)/D25,0)</f>
        <v>0</v>
      </c>
    </row>
    <row r="26" customFormat="false" ht="15" hidden="false" customHeight="false" outlineLevel="0" collapsed="false">
      <c r="A26" s="8" t="s">
        <v>50</v>
      </c>
      <c r="B26" s="10" t="n">
        <v>18</v>
      </c>
      <c r="C26" s="9" t="s">
        <v>51</v>
      </c>
      <c r="D26" s="10" t="n">
        <v>8</v>
      </c>
      <c r="E26" s="10" t="n">
        <f aca="false">COUNTIF(18_PPO2!$G$5:$G$12,"통과")</f>
        <v>0</v>
      </c>
      <c r="F26" s="10" t="n">
        <f aca="false">COUNTIF(18_PPO2!$G$5:$G$12,"보류")</f>
        <v>0</v>
      </c>
      <c r="G26" s="10" t="n">
        <f aca="false">COUNTIF(18_PPO2!$G$5:$G$12,"실패")</f>
        <v>0</v>
      </c>
      <c r="H26" s="10" t="n">
        <f aca="false">COUNTIF(18_PPO2!$G$5:$G$12,"미측정")</f>
        <v>0</v>
      </c>
      <c r="I26" s="11" t="n">
        <f aca="false">IFERROR((E26+F26+G26+H26)/D26,0)</f>
        <v>0</v>
      </c>
    </row>
    <row r="27" customFormat="false" ht="15" hidden="false" customHeight="false" outlineLevel="0" collapsed="false">
      <c r="A27" s="8" t="s">
        <v>52</v>
      </c>
      <c r="B27" s="10" t="n">
        <v>21</v>
      </c>
      <c r="C27" s="10" t="s">
        <v>53</v>
      </c>
      <c r="D27" s="10" t="n">
        <v>8</v>
      </c>
      <c r="E27" s="10" t="n">
        <f aca="false">COUNTIF(21_학습비교!$G$5:$G$12,"통과")</f>
        <v>0</v>
      </c>
      <c r="F27" s="10" t="n">
        <f aca="false">COUNTIF(21_학습비교!$G$5:$G$12,"보류")</f>
        <v>0</v>
      </c>
      <c r="G27" s="10" t="n">
        <f aca="false">COUNTIF(21_학습비교!$G$5:$G$12,"실패")</f>
        <v>0</v>
      </c>
      <c r="H27" s="10" t="n">
        <f aca="false">COUNTIF(21_학습비교!$G$5:$G$12,"미측정")</f>
        <v>0</v>
      </c>
      <c r="I27" s="11" t="n">
        <f aca="false">IFERROR((E27+F27+G27+H27)/D27,0)</f>
        <v>0</v>
      </c>
    </row>
    <row r="28" customFormat="false" ht="15" hidden="false" customHeight="false" outlineLevel="0" collapsed="false">
      <c r="A28" s="8" t="s">
        <v>54</v>
      </c>
      <c r="B28" s="10" t="n">
        <v>22</v>
      </c>
      <c r="C28" s="10" t="s">
        <v>55</v>
      </c>
      <c r="D28" s="10" t="n">
        <v>4</v>
      </c>
      <c r="E28" s="10" t="n">
        <f aca="false">COUNTIF(22_경로예측!$G$5:$G$8,"통과")</f>
        <v>0</v>
      </c>
      <c r="F28" s="10" t="n">
        <f aca="false">COUNTIF(22_경로예측!$G$5:$G$8,"보류")</f>
        <v>0</v>
      </c>
      <c r="G28" s="10" t="n">
        <f aca="false">COUNTIF(22_경로예측!$G$5:$G$8,"실패")</f>
        <v>0</v>
      </c>
      <c r="H28" s="10" t="n">
        <f aca="false">COUNTIF(22_경로예측!$G$5:$G$8,"미측정")</f>
        <v>0</v>
      </c>
      <c r="I28" s="11" t="n">
        <f aca="false">IFERROR((E28+F28+G28+H28)/D28,0)</f>
        <v>0</v>
      </c>
    </row>
    <row r="29" customFormat="false" ht="15" hidden="false" customHeight="false" outlineLevel="0" collapsed="false">
      <c r="A29" s="8" t="s">
        <v>56</v>
      </c>
      <c r="B29" s="10" t="n">
        <v>23</v>
      </c>
      <c r="C29" s="10" t="s">
        <v>57</v>
      </c>
      <c r="D29" s="10" t="n">
        <v>4</v>
      </c>
      <c r="E29" s="10" t="n">
        <f aca="false">COUNTIF(23_빠르고안정!$G$5:$G$8,"통과")</f>
        <v>0</v>
      </c>
      <c r="F29" s="10" t="n">
        <f aca="false">COUNTIF(23_빠르고안정!$G$5:$G$8,"보류")</f>
        <v>0</v>
      </c>
      <c r="G29" s="10" t="n">
        <f aca="false">COUNTIF(23_빠르고안정!$G$5:$G$8,"실패")</f>
        <v>0</v>
      </c>
      <c r="H29" s="10" t="n">
        <f aca="false">COUNTIF(23_빠르고안정!$G$5:$G$8,"미측정")</f>
        <v>0</v>
      </c>
      <c r="I29" s="11" t="n">
        <f aca="false">IFERROR((E29+F29+G29+H29)/D29,0)</f>
        <v>0</v>
      </c>
    </row>
    <row r="30" customFormat="false" ht="15" hidden="false" customHeight="false" outlineLevel="0" collapsed="false">
      <c r="A30" s="8" t="s">
        <v>58</v>
      </c>
      <c r="B30" s="10" t="n">
        <v>24</v>
      </c>
      <c r="C30" s="10" t="s">
        <v>59</v>
      </c>
      <c r="D30" s="10" t="n">
        <v>8</v>
      </c>
      <c r="E30" s="10" t="n">
        <f aca="false">COUNTIF(24_팔카메라보상!$G$5:$G$12,"통과")</f>
        <v>0</v>
      </c>
      <c r="F30" s="10" t="n">
        <f aca="false">COUNTIF(24_팔카메라보상!$G$5:$G$12,"보류")</f>
        <v>0</v>
      </c>
      <c r="G30" s="10" t="n">
        <f aca="false">COUNTIF(24_팔카메라보상!$G$5:$G$12,"실패")</f>
        <v>0</v>
      </c>
      <c r="H30" s="10" t="n">
        <f aca="false">COUNTIF(24_팔카메라보상!$G$5:$G$12,"미측정")</f>
        <v>0</v>
      </c>
      <c r="I30" s="11" t="n">
        <f aca="false">IFERROR((E30+F30+G30+H30)/D30,0)</f>
        <v>0</v>
      </c>
    </row>
    <row r="31" customFormat="false" ht="15" hidden="false" customHeight="false" outlineLevel="0" collapsed="false">
      <c r="A31" s="8" t="s">
        <v>60</v>
      </c>
      <c r="B31" s="10" t="n">
        <v>25</v>
      </c>
      <c r="C31" s="10" t="s">
        <v>61</v>
      </c>
      <c r="D31" s="10" t="n">
        <v>8</v>
      </c>
      <c r="E31" s="10" t="n">
        <f aca="false">COUNTIF(25_팔카메라PPO!$G$5:$G$12,"통과")</f>
        <v>0</v>
      </c>
      <c r="F31" s="10" t="n">
        <f aca="false">COUNTIF(25_팔카메라PPO!$G$5:$G$12,"보류")</f>
        <v>0</v>
      </c>
      <c r="G31" s="10" t="n">
        <f aca="false">COUNTIF(25_팔카메라PPO!$G$5:$G$12,"실패")</f>
        <v>0</v>
      </c>
      <c r="H31" s="10" t="n">
        <f aca="false">COUNTIF(25_팔카메라PPO!$G$5:$G$12,"미측정")</f>
        <v>0</v>
      </c>
      <c r="I31" s="11" t="n">
        <f aca="false">IFERROR((E31+F31+G31+H31)/D31,0)</f>
        <v>0</v>
      </c>
    </row>
    <row r="32" customFormat="false" ht="15" hidden="false" customHeight="false" outlineLevel="0" collapsed="false">
      <c r="A32" s="8" t="s">
        <v>62</v>
      </c>
      <c r="B32" s="10" t="n">
        <v>26</v>
      </c>
      <c r="C32" s="10" t="s">
        <v>63</v>
      </c>
      <c r="D32" s="10" t="n">
        <v>4</v>
      </c>
      <c r="E32" s="10" t="n">
        <f aca="false">COUNTIF(26_팔회전범위!$G$5:$G$8,"통과")</f>
        <v>0</v>
      </c>
      <c r="F32" s="10" t="n">
        <f aca="false">COUNTIF(26_팔회전범위!$G$5:$G$8,"보류")</f>
        <v>0</v>
      </c>
      <c r="G32" s="10" t="n">
        <f aca="false">COUNTIF(26_팔회전범위!$G$5:$G$8,"실패")</f>
        <v>0</v>
      </c>
      <c r="H32" s="10" t="n">
        <f aca="false">COUNTIF(26_팔회전범위!$G$5:$G$8,"미측정")</f>
        <v>0</v>
      </c>
      <c r="I32" s="11" t="n">
        <f aca="false">IFERROR((E32+F32+G32+H32)/D32,0)</f>
        <v>0</v>
      </c>
    </row>
    <row r="33" customFormat="false" ht="15" hidden="false" customHeight="false" outlineLevel="0" collapsed="false">
      <c r="A33" s="8" t="s">
        <v>64</v>
      </c>
      <c r="B33" s="10" t="n">
        <v>32</v>
      </c>
      <c r="C33" s="9" t="s">
        <v>65</v>
      </c>
      <c r="D33" s="10" t="n">
        <v>13</v>
      </c>
      <c r="E33" s="10" t="n">
        <f aca="false">COUNTIF(32_cuVSLAM설정!$E$5:$E$17,"통과")</f>
        <v>0</v>
      </c>
      <c r="F33" s="10" t="n">
        <f aca="false">COUNTIF(32_cuVSLAM설정!$E$5:$E$17,"보류")</f>
        <v>0</v>
      </c>
      <c r="G33" s="10" t="n">
        <f aca="false">COUNTIF(32_cuVSLAM설정!$E$5:$E$17,"실패")</f>
        <v>0</v>
      </c>
      <c r="H33" s="10" t="n">
        <f aca="false">COUNTIF(32_cuVSLAM설정!$E$5:$E$17,"미측정")</f>
        <v>0</v>
      </c>
      <c r="I33" s="11" t="n">
        <f aca="false">IFERROR((E33+F33+G33+H33)/D33,0)</f>
        <v>0</v>
      </c>
    </row>
    <row r="34" customFormat="false" ht="15" hidden="false" customHeight="false" outlineLevel="0" collapsed="false">
      <c r="A34" s="8" t="s">
        <v>66</v>
      </c>
      <c r="B34" s="10" t="n">
        <v>33</v>
      </c>
      <c r="C34" s="9" t="s">
        <v>67</v>
      </c>
      <c r="D34" s="10" t="n">
        <v>4</v>
      </c>
      <c r="E34" s="10" t="n">
        <f aca="false">COUNTIF(33_cuVSLAM조정!$G$5:$G$8,"통과")</f>
        <v>0</v>
      </c>
      <c r="F34" s="10" t="n">
        <f aca="false">COUNTIF(33_cuVSLAM조정!$G$5:$G$8,"보류")</f>
        <v>0</v>
      </c>
      <c r="G34" s="10" t="n">
        <f aca="false">COUNTIF(33_cuVSLAM조정!$G$5:$G$8,"실패")</f>
        <v>0</v>
      </c>
      <c r="H34" s="10" t="n">
        <f aca="false">COUNTIF(33_cuVSLAM조정!$G$5:$G$8,"미측정")</f>
        <v>0</v>
      </c>
      <c r="I34" s="11" t="n">
        <f aca="false">IFERROR((E34+F34+G34+H34)/D34,0)</f>
        <v>0</v>
      </c>
    </row>
    <row r="35" customFormat="false" ht="15" hidden="false" customHeight="false" outlineLevel="0" collapsed="false">
      <c r="A35" s="8" t="s">
        <v>68</v>
      </c>
      <c r="B35" s="10" t="n">
        <v>35</v>
      </c>
      <c r="C35" s="10" t="s">
        <v>69</v>
      </c>
      <c r="D35" s="10" t="n">
        <v>8</v>
      </c>
      <c r="E35" s="10" t="n">
        <f aca="false">COUNTIF(35_센서입력!$G$5:$G$12,"통과")</f>
        <v>0</v>
      </c>
      <c r="F35" s="10" t="n">
        <f aca="false">COUNTIF(35_센서입력!$G$5:$G$12,"보류")</f>
        <v>0</v>
      </c>
      <c r="G35" s="10" t="n">
        <f aca="false">COUNTIF(35_센서입력!$G$5:$G$12,"실패")</f>
        <v>0</v>
      </c>
      <c r="H35" s="10" t="n">
        <f aca="false">COUNTIF(35_센서입력!$G$5:$G$12,"미측정")</f>
        <v>0</v>
      </c>
      <c r="I35" s="11" t="n">
        <f aca="false">IFERROR((E35+F35+G35+H35)/D35,0)</f>
        <v>0</v>
      </c>
    </row>
    <row r="36" customFormat="false" ht="15" hidden="false" customHeight="false" outlineLevel="0" collapsed="false">
      <c r="A36" s="8" t="s">
        <v>70</v>
      </c>
      <c r="B36" s="10" t="n">
        <v>37</v>
      </c>
      <c r="C36" s="10" t="s">
        <v>71</v>
      </c>
      <c r="D36" s="10" t="n">
        <v>8</v>
      </c>
      <c r="E36" s="10" t="n">
        <f aca="false">COUNTIF(37_EKF_AMCL!$G$5:$G$12,"통과")</f>
        <v>0</v>
      </c>
      <c r="F36" s="10" t="n">
        <f aca="false">COUNTIF(37_EKF_AMCL!$G$5:$G$12,"보류")</f>
        <v>0</v>
      </c>
      <c r="G36" s="10" t="n">
        <f aca="false">COUNTIF(37_EKF_AMCL!$G$5:$G$12,"실패")</f>
        <v>0</v>
      </c>
      <c r="H36" s="10" t="n">
        <f aca="false">COUNTIF(37_EKF_AMCL!$G$5:$G$12,"미측정")</f>
        <v>0</v>
      </c>
      <c r="I36" s="11" t="n">
        <f aca="false">IFERROR((E36+F36+G36+H36)/D36,0)</f>
        <v>0</v>
      </c>
    </row>
    <row r="37" customFormat="false" ht="15" hidden="false" customHeight="false" outlineLevel="0" collapsed="false">
      <c r="A37" s="8" t="s">
        <v>72</v>
      </c>
      <c r="B37" s="10" t="n">
        <v>39</v>
      </c>
      <c r="C37" s="10" t="s">
        <v>73</v>
      </c>
      <c r="D37" s="10" t="n">
        <v>4</v>
      </c>
      <c r="E37" s="10" t="n">
        <f aca="false">COUNTIF(39_엔코더!$G$5:$G$8,"통과")</f>
        <v>0</v>
      </c>
      <c r="F37" s="10" t="n">
        <f aca="false">COUNTIF(39_엔코더!$G$5:$G$8,"보류")</f>
        <v>0</v>
      </c>
      <c r="G37" s="10" t="n">
        <f aca="false">COUNTIF(39_엔코더!$G$5:$G$8,"실패")</f>
        <v>0</v>
      </c>
      <c r="H37" s="10" t="n">
        <f aca="false">COUNTIF(39_엔코더!$G$5:$G$8,"미측정")</f>
        <v>0</v>
      </c>
      <c r="I37" s="11" t="n">
        <f aca="false">IFERROR((E37+F37+G37+H37)/D37,0)</f>
        <v>0</v>
      </c>
    </row>
    <row r="38" customFormat="false" ht="15" hidden="false" customHeight="false" outlineLevel="0" collapsed="false">
      <c r="A38" s="8" t="s">
        <v>74</v>
      </c>
      <c r="B38" s="10" t="n">
        <v>42</v>
      </c>
      <c r="C38" s="9" t="s">
        <v>75</v>
      </c>
      <c r="D38" s="10" t="n">
        <v>4</v>
      </c>
      <c r="E38" s="10" t="n">
        <f aca="false">COUNTIF(42_Nav2통로!$G$5:$G$8,"통과")</f>
        <v>0</v>
      </c>
      <c r="F38" s="10" t="n">
        <f aca="false">COUNTIF(42_Nav2통로!$G$5:$G$8,"보류")</f>
        <v>0</v>
      </c>
      <c r="G38" s="10" t="n">
        <f aca="false">COUNTIF(42_Nav2통로!$G$5:$G$8,"실패")</f>
        <v>0</v>
      </c>
      <c r="H38" s="10" t="n">
        <f aca="false">COUNTIF(42_Nav2통로!$G$5:$G$8,"미측정")</f>
        <v>0</v>
      </c>
      <c r="I38" s="11" t="n">
        <f aca="false">IFERROR((E38+F38+G38+H38)/D38,0)</f>
        <v>0</v>
      </c>
    </row>
    <row r="39" customFormat="false" ht="15" hidden="false" customHeight="false" outlineLevel="0" collapsed="false">
      <c r="A39" s="8" t="s">
        <v>76</v>
      </c>
      <c r="B39" s="10" t="n">
        <v>43</v>
      </c>
      <c r="C39" s="9" t="s">
        <v>77</v>
      </c>
      <c r="D39" s="10" t="n">
        <v>4</v>
      </c>
      <c r="E39" s="10" t="n">
        <f aca="false">COUNTIF(43_Nav2_MPPI!$G$5:$G$8,"통과")</f>
        <v>0</v>
      </c>
      <c r="F39" s="10" t="n">
        <f aca="false">COUNTIF(43_Nav2_MPPI!$G$5:$G$8,"보류")</f>
        <v>0</v>
      </c>
      <c r="G39" s="10" t="n">
        <f aca="false">COUNTIF(43_Nav2_MPPI!$G$5:$G$8,"실패")</f>
        <v>0</v>
      </c>
      <c r="H39" s="10" t="n">
        <f aca="false">COUNTIF(43_Nav2_MPPI!$G$5:$G$8,"미측정")</f>
        <v>0</v>
      </c>
      <c r="I39" s="11" t="n">
        <f aca="false">IFERROR((E39+F39+G39+H39)/D39,0)</f>
        <v>0</v>
      </c>
    </row>
    <row r="40" customFormat="false" ht="15" hidden="false" customHeight="false" outlineLevel="0" collapsed="false">
      <c r="A40" s="8" t="s">
        <v>78</v>
      </c>
      <c r="B40" s="10" t="n">
        <v>45</v>
      </c>
      <c r="C40" s="10" t="s">
        <v>79</v>
      </c>
      <c r="D40" s="10" t="n">
        <v>8</v>
      </c>
      <c r="E40" s="10" t="n">
        <f aca="false">COUNTIF(45_스워브모듈!$G$5:$G$12,"통과")</f>
        <v>0</v>
      </c>
      <c r="F40" s="10" t="n">
        <f aca="false">COUNTIF(45_스워브모듈!$G$5:$G$12,"보류")</f>
        <v>0</v>
      </c>
      <c r="G40" s="10" t="n">
        <f aca="false">COUNTIF(45_스워브모듈!$G$5:$G$12,"실패")</f>
        <v>0</v>
      </c>
      <c r="H40" s="10" t="n">
        <f aca="false">COUNTIF(45_스워브모듈!$G$5:$G$12,"미측정")</f>
        <v>0</v>
      </c>
      <c r="I40" s="11" t="n">
        <f aca="false">IFERROR((E40+F40+G40+H40)/D40,0)</f>
        <v>0</v>
      </c>
    </row>
    <row r="41" customFormat="false" ht="15" hidden="false" customHeight="false" outlineLevel="0" collapsed="false">
      <c r="A41" s="8" t="s">
        <v>80</v>
      </c>
      <c r="B41" s="10" t="n">
        <v>46</v>
      </c>
      <c r="C41" s="9" t="s">
        <v>81</v>
      </c>
      <c r="D41" s="10" t="n">
        <v>8</v>
      </c>
      <c r="E41" s="10" t="n">
        <f aca="false">COUNTIF(46_스워브구동기!$G$5:$G$12,"통과")</f>
        <v>0</v>
      </c>
      <c r="F41" s="10" t="n">
        <f aca="false">COUNTIF(46_스워브구동기!$G$5:$G$12,"보류")</f>
        <v>0</v>
      </c>
      <c r="G41" s="10" t="n">
        <f aca="false">COUNTIF(46_스워브구동기!$G$5:$G$12,"실패")</f>
        <v>0</v>
      </c>
      <c r="H41" s="10" t="n">
        <f aca="false">COUNTIF(46_스워브구동기!$G$5:$G$12,"미측정")</f>
        <v>0</v>
      </c>
      <c r="I41" s="11" t="n">
        <f aca="false">IFERROR((E41+F41+G41+H41)/D41,0)</f>
        <v>0</v>
      </c>
    </row>
    <row r="42" customFormat="false" ht="15" hidden="false" customHeight="false" outlineLevel="0" collapsed="false">
      <c r="A42" s="8" t="s">
        <v>82</v>
      </c>
      <c r="B42" s="10" t="n">
        <v>47</v>
      </c>
      <c r="C42" s="10" t="s">
        <v>83</v>
      </c>
      <c r="D42" s="10" t="n">
        <v>8</v>
      </c>
      <c r="E42" s="10" t="n">
        <f aca="false">COUNTIF(47_스워브반전!$G$5:$G$12,"통과")</f>
        <v>0</v>
      </c>
      <c r="F42" s="10" t="n">
        <f aca="false">COUNTIF(47_스워브반전!$G$5:$G$12,"보류")</f>
        <v>0</v>
      </c>
      <c r="G42" s="10" t="n">
        <f aca="false">COUNTIF(47_스워브반전!$G$5:$G$12,"실패")</f>
        <v>0</v>
      </c>
      <c r="H42" s="10" t="n">
        <f aca="false">COUNTIF(47_스워브반전!$G$5:$G$12,"미측정")</f>
        <v>0</v>
      </c>
      <c r="I42" s="11" t="n">
        <f aca="false">IFERROR((E42+F42+G42+H42)/D42,0)</f>
        <v>0</v>
      </c>
    </row>
    <row r="43" customFormat="false" ht="15" hidden="false" customHeight="false" outlineLevel="0" collapsed="false">
      <c r="A43" s="8" t="s">
        <v>84</v>
      </c>
      <c r="B43" s="10" t="n">
        <v>48</v>
      </c>
      <c r="C43" s="10" t="s">
        <v>85</v>
      </c>
      <c r="D43" s="10" t="n">
        <v>4</v>
      </c>
      <c r="E43" s="10" t="n">
        <f aca="false">COUNTIF(48_스워브Nav2!$G$5:$G$8,"통과")</f>
        <v>0</v>
      </c>
      <c r="F43" s="10" t="n">
        <f aca="false">COUNTIF(48_스워브Nav2!$G$5:$G$8,"보류")</f>
        <v>0</v>
      </c>
      <c r="G43" s="10" t="n">
        <f aca="false">COUNTIF(48_스워브Nav2!$G$5:$G$8,"실패")</f>
        <v>0</v>
      </c>
      <c r="H43" s="10" t="n">
        <f aca="false">COUNTIF(48_스워브Nav2!$G$5:$G$8,"미측정")</f>
        <v>0</v>
      </c>
      <c r="I43" s="11" t="n">
        <f aca="false">IFERROR((E43+F43+G43+H43)/D43,0)</f>
        <v>0</v>
      </c>
    </row>
    <row r="44" customFormat="false" ht="15" hidden="false" customHeight="false" outlineLevel="0" collapsed="false">
      <c r="A44" s="8" t="s">
        <v>86</v>
      </c>
      <c r="B44" s="10" t="n">
        <v>49</v>
      </c>
      <c r="C44" s="10" t="s">
        <v>87</v>
      </c>
      <c r="D44" s="10" t="n">
        <v>8</v>
      </c>
      <c r="E44" s="10" t="n">
        <f aca="false">COUNTIF(49_동역학조향!$G$5:$G$12,"통과")</f>
        <v>0</v>
      </c>
      <c r="F44" s="10" t="n">
        <f aca="false">COUNTIF(49_동역학조향!$G$5:$G$12,"보류")</f>
        <v>0</v>
      </c>
      <c r="G44" s="10" t="n">
        <f aca="false">COUNTIF(49_동역학조향!$G$5:$G$12,"실패")</f>
        <v>0</v>
      </c>
      <c r="H44" s="10" t="n">
        <f aca="false">COUNTIF(49_동역학조향!$G$5:$G$12,"미측정")</f>
        <v>0</v>
      </c>
      <c r="I44" s="11" t="n">
        <f aca="false">IFERROR((E44+F44+G44+H44)/D44,0)</f>
        <v>0</v>
      </c>
    </row>
    <row r="45" customFormat="false" ht="15" hidden="false" customHeight="false" outlineLevel="0" collapsed="false">
      <c r="A45" s="8" t="s">
        <v>88</v>
      </c>
      <c r="B45" s="10" t="n">
        <v>50</v>
      </c>
      <c r="C45" s="10" t="s">
        <v>89</v>
      </c>
      <c r="D45" s="10" t="n">
        <v>12</v>
      </c>
      <c r="E45" s="10" t="n">
        <f aca="false">COUNTIF(50_미로결과!$H$8:$H$19,"통과")</f>
        <v>0</v>
      </c>
      <c r="F45" s="10" t="n">
        <f aca="false">COUNTIF(50_미로결과!$H$8:$H$19,"보류")</f>
        <v>0</v>
      </c>
      <c r="G45" s="10" t="n">
        <f aca="false">COUNTIF(50_미로결과!$H$8:$H$19,"실패")</f>
        <v>0</v>
      </c>
      <c r="H45" s="10" t="n">
        <f aca="false">COUNTIF(50_미로결과!$H$8:$H$19,"미측정")</f>
        <v>0</v>
      </c>
      <c r="I45" s="11" t="n">
        <f aca="false">IFERROR((E45+F45+G45+H45)/D45,0)</f>
        <v>0</v>
      </c>
    </row>
    <row r="46" customFormat="false" ht="15" hidden="false" customHeight="false" outlineLevel="0" collapsed="false">
      <c r="A46" s="8" t="s">
        <v>90</v>
      </c>
      <c r="B46" s="10" t="n">
        <v>51</v>
      </c>
      <c r="C46" s="10" t="s">
        <v>91</v>
      </c>
      <c r="D46" s="10" t="n">
        <v>8</v>
      </c>
      <c r="E46" s="10" t="n">
        <f aca="false">COUNTIF(51_센서누락!$F$8:$F$15,"통과")</f>
        <v>0</v>
      </c>
      <c r="F46" s="10" t="n">
        <f aca="false">COUNTIF(51_센서누락!$F$8:$F$15,"보류")</f>
        <v>0</v>
      </c>
      <c r="G46" s="10" t="n">
        <f aca="false">COUNTIF(51_센서누락!$F$8:$F$15,"실패")</f>
        <v>0</v>
      </c>
      <c r="H46" s="10" t="n">
        <f aca="false">COUNTIF(51_센서누락!$F$8:$F$15,"미측정")</f>
        <v>0</v>
      </c>
      <c r="I46" s="11" t="n">
        <f aca="false">IFERROR((E46+F46+G46+H46)/D46,0)</f>
        <v>0</v>
      </c>
    </row>
    <row r="47" customFormat="false" ht="15" hidden="false" customHeight="false" outlineLevel="0" collapsed="false">
      <c r="C47" s="12" t="s">
        <v>92</v>
      </c>
      <c r="D47" s="12" t="n">
        <f aca="false">SUM(D19:D46)</f>
        <v>195</v>
      </c>
      <c r="E47" s="12" t="n">
        <f aca="false">SUM(E19:E46)</f>
        <v>0</v>
      </c>
      <c r="F47" s="12" t="n">
        <f aca="false">SUM(F19:F46)</f>
        <v>0</v>
      </c>
      <c r="G47" s="12" t="n">
        <f aca="false">SUM(G19:G46)</f>
        <v>0</v>
      </c>
      <c r="H47" s="12" t="n">
        <f aca="false">SUM(H19:H46)</f>
        <v>0</v>
      </c>
      <c r="I47" s="13" t="n">
        <f aca="false">IFERROR((E47+F47+G47+H47)/D47,0)</f>
        <v>0</v>
      </c>
    </row>
  </sheetData>
  <hyperlinks>
    <hyperlink ref="A19" r:id="rId1" location="'02_완료기준'!A1" display="02_완료기준"/>
    <hyperlink ref="A20" r:id="rId2" location="'07_팀별변경'!A1" display="07_팀별변경"/>
    <hyperlink ref="A21" r:id="rId3" location="'11_보상1'!A1" display="11_보상1"/>
    <hyperlink ref="A22" r:id="rId4" location="'12_보상2'!A1" display="12_보상2"/>
    <hyperlink ref="A23" r:id="rId5" location="'13_보상3'!A1" display="13_보상3"/>
    <hyperlink ref="A24" r:id="rId6" location="'14_보상4'!A1" display="14_보상4"/>
    <hyperlink ref="A25" r:id="rId7" location="'17_PPO1'!A1" display="17_PPO1"/>
    <hyperlink ref="A26" r:id="rId8" location="'18_PPO2'!A1" display="18_PPO2"/>
    <hyperlink ref="A27" r:id="rId9" location="'21_학습비교'!A1" display="21_학습비교"/>
    <hyperlink ref="A28" r:id="rId10" location="'22_경로예측'!A1" display="22_경로예측"/>
    <hyperlink ref="A29" r:id="rId11" location="'23_빠르고안정'!A1" display="23_빠르고안정"/>
    <hyperlink ref="A30" r:id="rId12" location="'24_팔카메라보상'!A1" display="24_팔카메라보상"/>
    <hyperlink ref="A31" r:id="rId13" location="'25_팔카메라PPO'!A1" display="25_팔카메라PPO"/>
    <hyperlink ref="A32" r:id="rId14" location="'26_팔회전범위'!A1" display="26_팔회전범위"/>
    <hyperlink ref="A33" r:id="rId15" location="'32_cuVSLAM설정'!A1" display="32_cuVSLAM설정"/>
    <hyperlink ref="A34" r:id="rId16" location="'33_cuVSLAM조정'!A1" display="33_cuVSLAM조정"/>
    <hyperlink ref="A35" r:id="rId17" location="'35_센서입력'!A1" display="35_센서입력"/>
    <hyperlink ref="A36" r:id="rId18" location="'37_EKF_AMCL'!A1" display="37_EKF_AMCL"/>
    <hyperlink ref="A37" r:id="rId19" location="'39_엔코더'!A1" display="39_엔코더"/>
    <hyperlink ref="A38" r:id="rId20" location="'42_Nav2통로'!A1" display="42_Nav2통로"/>
    <hyperlink ref="A39" r:id="rId21" location="'43_Nav2_MPPI'!A1" display="43_Nav2_MPPI"/>
    <hyperlink ref="A40" r:id="rId22" location="'45_스워브모듈'!A1" display="45_스워브모듈"/>
    <hyperlink ref="A41" r:id="rId23" location="'46_스워브구동기'!A1" display="46_스워브구동기"/>
    <hyperlink ref="A42" r:id="rId24" location="'47_스워브반전'!A1" display="47_스워브반전"/>
    <hyperlink ref="A43" r:id="rId25" location="'48_스워브Nav2'!A1" display="48_스워브Nav2"/>
    <hyperlink ref="A44" r:id="rId26" location="'49_동역학조향'!A1" display="49_동역학조향"/>
    <hyperlink ref="A45" r:id="rId27" location="'50_미로결과'!A1" display="50_미로결과"/>
    <hyperlink ref="A46" r:id="rId28" location="'51_센서누락'!A1" display="51_센서누락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30"/>
  </cols>
  <sheetData>
    <row r="1" customFormat="false" ht="21.6" hidden="false" customHeight="false" outlineLevel="0" collapsed="false">
      <c r="A1" s="14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95</v>
      </c>
      <c r="B4" s="5" t="s">
        <v>96</v>
      </c>
      <c r="C4" s="5" t="s">
        <v>97</v>
      </c>
      <c r="D4" s="15" t="s">
        <v>98</v>
      </c>
      <c r="E4" s="15" t="s">
        <v>14</v>
      </c>
      <c r="F4" s="15" t="s">
        <v>15</v>
      </c>
      <c r="G4" s="15" t="s">
        <v>18</v>
      </c>
    </row>
    <row r="5" customFormat="false" ht="15" hidden="false" customHeight="false" outlineLevel="0" collapsed="false">
      <c r="A5" s="16" t="s">
        <v>99</v>
      </c>
      <c r="B5" s="16" t="n">
        <v>0.1</v>
      </c>
      <c r="C5" s="17" t="s">
        <v>100</v>
      </c>
      <c r="D5" s="7"/>
      <c r="E5" s="10" t="str">
        <f aca="false">IF(D5="","",IF(D5&lt;B5,"통과","실패"))</f>
        <v/>
      </c>
      <c r="F5" s="7"/>
      <c r="G5" s="7"/>
    </row>
    <row r="6" customFormat="false" ht="15" hidden="false" customHeight="false" outlineLevel="0" collapsed="false">
      <c r="A6" s="16" t="s">
        <v>101</v>
      </c>
      <c r="B6" s="16" t="n">
        <v>0.951</v>
      </c>
      <c r="C6" s="17" t="s">
        <v>102</v>
      </c>
      <c r="D6" s="7"/>
      <c r="E6" s="10" t="str">
        <f aca="false">IF(D6="","",IF(D6&lt;=B6,"통과","실패"))</f>
        <v/>
      </c>
      <c r="F6" s="7"/>
      <c r="G6" s="7"/>
    </row>
    <row r="7" customFormat="false" ht="15" hidden="false" customHeight="false" outlineLevel="0" collapsed="false">
      <c r="A7" s="16" t="s">
        <v>103</v>
      </c>
      <c r="B7" s="16" t="n">
        <v>0.5</v>
      </c>
      <c r="C7" s="17" t="s">
        <v>104</v>
      </c>
      <c r="D7" s="7"/>
      <c r="E7" s="10" t="str">
        <f aca="false">IF(D7="","",IF(D7&lt;=B7,"통과","실패"))</f>
        <v/>
      </c>
      <c r="F7" s="7"/>
      <c r="G7" s="7"/>
    </row>
    <row r="8" customFormat="false" ht="15" hidden="false" customHeight="false" outlineLevel="0" collapsed="false">
      <c r="A8" s="16" t="s">
        <v>105</v>
      </c>
      <c r="B8" s="16"/>
      <c r="C8" s="17" t="s">
        <v>106</v>
      </c>
      <c r="D8" s="7"/>
      <c r="E8" s="6"/>
      <c r="F8" s="7"/>
      <c r="G8" s="7"/>
    </row>
    <row r="9" customFormat="false" ht="15" hidden="false" customHeight="false" outlineLevel="0" collapsed="false">
      <c r="A9" s="16" t="s">
        <v>107</v>
      </c>
      <c r="B9" s="16"/>
      <c r="C9" s="17" t="s">
        <v>106</v>
      </c>
      <c r="D9" s="7"/>
      <c r="E9" s="6"/>
      <c r="F9" s="7"/>
      <c r="G9" s="7"/>
    </row>
    <row r="10" customFormat="false" ht="15" hidden="false" customHeight="false" outlineLevel="0" collapsed="false">
      <c r="A10" s="16" t="s">
        <v>108</v>
      </c>
      <c r="B10" s="16"/>
      <c r="C10" s="17" t="s">
        <v>106</v>
      </c>
      <c r="D10" s="7"/>
      <c r="E10" s="6"/>
      <c r="F10" s="7"/>
      <c r="G10" s="7"/>
    </row>
    <row r="12" customFormat="false" ht="15" hidden="false" customHeight="false" outlineLevel="0" collapsed="false">
      <c r="A12" s="2" t="s">
        <v>109</v>
      </c>
    </row>
  </sheetData>
  <dataValidations count="1">
    <dataValidation allowBlank="true" errorStyle="stop" operator="between" showDropDown="false" showErrorMessage="false" showInputMessage="false" sqref="E8:E10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110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111</v>
      </c>
      <c r="B4" s="18" t="s">
        <v>112</v>
      </c>
      <c r="C4" s="5" t="s">
        <v>113</v>
      </c>
      <c r="D4" s="5" t="s">
        <v>114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115</v>
      </c>
      <c r="B5" s="16" t="s">
        <v>116</v>
      </c>
      <c r="C5" s="17" t="s">
        <v>117</v>
      </c>
      <c r="D5" s="16" t="s">
        <v>118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6" t="s">
        <v>119</v>
      </c>
      <c r="B6" s="16" t="s">
        <v>120</v>
      </c>
      <c r="C6" s="16" t="s">
        <v>121</v>
      </c>
      <c r="D6" s="16" t="s">
        <v>122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6" t="s">
        <v>123</v>
      </c>
      <c r="B7" s="16" t="s">
        <v>124</v>
      </c>
      <c r="C7" s="17" t="s">
        <v>125</v>
      </c>
      <c r="D7" s="16" t="s">
        <v>126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127</v>
      </c>
      <c r="B8" s="17" t="s">
        <v>128</v>
      </c>
      <c r="C8" s="16" t="s">
        <v>129</v>
      </c>
      <c r="D8" s="16" t="s">
        <v>130</v>
      </c>
      <c r="E8" s="7"/>
      <c r="F8" s="7"/>
      <c r="G8" s="6"/>
      <c r="H8" s="7"/>
      <c r="I8" s="7"/>
      <c r="J8" s="7"/>
      <c r="K8" s="7"/>
    </row>
  </sheetData>
  <dataValidations count="1">
    <dataValidation allowBlank="true" errorStyle="stop" operator="between" showDropDown="false" showErrorMessage="false" showInputMessage="false" sqref="G5:G8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131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11</v>
      </c>
      <c r="B4" s="5" t="s">
        <v>132</v>
      </c>
      <c r="C4" s="5" t="s">
        <v>133</v>
      </c>
      <c r="D4" s="5" t="s">
        <v>134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135</v>
      </c>
      <c r="B5" s="16" t="s">
        <v>136</v>
      </c>
      <c r="C5" s="17" t="s">
        <v>137</v>
      </c>
      <c r="D5" s="16" t="s">
        <v>138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6" t="s">
        <v>139</v>
      </c>
      <c r="B6" s="16" t="s">
        <v>140</v>
      </c>
      <c r="C6" s="17" t="s">
        <v>141</v>
      </c>
      <c r="D6" s="16" t="s">
        <v>142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6" t="s">
        <v>143</v>
      </c>
      <c r="B7" s="16" t="s">
        <v>144</v>
      </c>
      <c r="C7" s="17" t="s">
        <v>145</v>
      </c>
      <c r="D7" s="16" t="s">
        <v>146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147</v>
      </c>
      <c r="B8" s="16" t="s">
        <v>148</v>
      </c>
      <c r="C8" s="17" t="s">
        <v>149</v>
      </c>
      <c r="D8" s="16" t="s">
        <v>150</v>
      </c>
      <c r="E8" s="7"/>
      <c r="F8" s="7"/>
      <c r="G8" s="6"/>
      <c r="H8" s="7"/>
      <c r="I8" s="7"/>
      <c r="J8" s="7"/>
      <c r="K8" s="7"/>
    </row>
    <row r="9" customFormat="false" ht="15" hidden="false" customHeight="false" outlineLevel="0" collapsed="false">
      <c r="A9" s="16" t="s">
        <v>151</v>
      </c>
      <c r="B9" s="16" t="s">
        <v>152</v>
      </c>
      <c r="C9" s="17" t="s">
        <v>153</v>
      </c>
      <c r="D9" s="16" t="s">
        <v>154</v>
      </c>
      <c r="E9" s="7"/>
      <c r="F9" s="7"/>
      <c r="G9" s="6"/>
      <c r="H9" s="7"/>
      <c r="I9" s="7"/>
      <c r="J9" s="7"/>
      <c r="K9" s="7"/>
    </row>
    <row r="10" customFormat="false" ht="15" hidden="false" customHeight="false" outlineLevel="0" collapsed="false">
      <c r="A10" s="16" t="s">
        <v>155</v>
      </c>
      <c r="B10" s="16" t="s">
        <v>156</v>
      </c>
      <c r="C10" s="16" t="s">
        <v>157</v>
      </c>
      <c r="D10" s="16" t="s">
        <v>158</v>
      </c>
      <c r="E10" s="7"/>
      <c r="F10" s="7"/>
      <c r="G10" s="6"/>
      <c r="H10" s="7"/>
      <c r="I10" s="7"/>
      <c r="J10" s="7"/>
      <c r="K10" s="7"/>
    </row>
    <row r="11" customFormat="false" ht="15" hidden="false" customHeight="false" outlineLevel="0" collapsed="false">
      <c r="A11" s="16" t="s">
        <v>159</v>
      </c>
      <c r="B11" s="16" t="s">
        <v>160</v>
      </c>
      <c r="C11" s="16" t="s">
        <v>161</v>
      </c>
      <c r="D11" s="16" t="s">
        <v>162</v>
      </c>
      <c r="E11" s="7"/>
      <c r="F11" s="7"/>
      <c r="G11" s="6"/>
      <c r="H11" s="7"/>
      <c r="I11" s="7"/>
      <c r="J11" s="7"/>
      <c r="K11" s="7"/>
    </row>
    <row r="12" customFormat="false" ht="15" hidden="false" customHeight="false" outlineLevel="0" collapsed="false">
      <c r="A12" s="16" t="s">
        <v>163</v>
      </c>
      <c r="B12" s="16" t="s">
        <v>164</v>
      </c>
      <c r="C12" s="16" t="s">
        <v>165</v>
      </c>
      <c r="D12" s="16" t="s">
        <v>166</v>
      </c>
      <c r="E12" s="7"/>
      <c r="F12" s="7"/>
      <c r="G12" s="6"/>
      <c r="H12" s="7"/>
      <c r="I12" s="7"/>
      <c r="J12" s="7"/>
      <c r="K12" s="7"/>
    </row>
  </sheetData>
  <dataValidations count="1">
    <dataValidation allowBlank="true" errorStyle="stop" operator="between" showDropDown="false" showErrorMessage="false" showInputMessage="false" sqref="G5:G12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167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11</v>
      </c>
      <c r="B4" s="5" t="s">
        <v>132</v>
      </c>
      <c r="C4" s="5" t="s">
        <v>133</v>
      </c>
      <c r="D4" s="5" t="s">
        <v>134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7" t="s">
        <v>168</v>
      </c>
      <c r="B5" s="17" t="s">
        <v>169</v>
      </c>
      <c r="C5" s="16" t="s">
        <v>170</v>
      </c>
      <c r="D5" s="16" t="s">
        <v>171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7" t="s">
        <v>172</v>
      </c>
      <c r="B6" s="16" t="s">
        <v>173</v>
      </c>
      <c r="C6" s="16" t="s">
        <v>174</v>
      </c>
      <c r="D6" s="16" t="s">
        <v>175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6" t="s">
        <v>176</v>
      </c>
      <c r="B7" s="16" t="s">
        <v>177</v>
      </c>
      <c r="C7" s="16" t="s">
        <v>178</v>
      </c>
      <c r="D7" s="16" t="s">
        <v>179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7" t="s">
        <v>180</v>
      </c>
      <c r="B8" s="17" t="s">
        <v>181</v>
      </c>
      <c r="C8" s="16" t="s">
        <v>182</v>
      </c>
      <c r="D8" s="16" t="s">
        <v>183</v>
      </c>
      <c r="E8" s="7"/>
      <c r="F8" s="7"/>
      <c r="G8" s="6"/>
      <c r="H8" s="7"/>
      <c r="I8" s="7"/>
      <c r="J8" s="7"/>
      <c r="K8" s="7"/>
    </row>
    <row r="9" customFormat="false" ht="15" hidden="false" customHeight="false" outlineLevel="0" collapsed="false">
      <c r="A9" s="16" t="s">
        <v>184</v>
      </c>
      <c r="B9" s="16" t="s">
        <v>185</v>
      </c>
      <c r="C9" s="16" t="s">
        <v>186</v>
      </c>
      <c r="D9" s="16" t="s">
        <v>187</v>
      </c>
      <c r="E9" s="7"/>
      <c r="F9" s="7"/>
      <c r="G9" s="6"/>
      <c r="H9" s="7"/>
      <c r="I9" s="7"/>
      <c r="J9" s="7"/>
      <c r="K9" s="7"/>
    </row>
    <row r="10" customFormat="false" ht="15" hidden="false" customHeight="false" outlineLevel="0" collapsed="false">
      <c r="A10" s="16" t="s">
        <v>188</v>
      </c>
      <c r="B10" s="16" t="s">
        <v>189</v>
      </c>
      <c r="C10" s="16" t="s">
        <v>190</v>
      </c>
      <c r="D10" s="16" t="s">
        <v>191</v>
      </c>
      <c r="E10" s="7"/>
      <c r="F10" s="7"/>
      <c r="G10" s="6"/>
      <c r="H10" s="7"/>
      <c r="I10" s="7"/>
      <c r="J10" s="7"/>
      <c r="K10" s="7"/>
    </row>
    <row r="11" customFormat="false" ht="15" hidden="false" customHeight="false" outlineLevel="0" collapsed="false">
      <c r="A11" s="16" t="s">
        <v>192</v>
      </c>
      <c r="B11" s="17" t="s">
        <v>193</v>
      </c>
      <c r="C11" s="16" t="s">
        <v>194</v>
      </c>
      <c r="D11" s="17" t="s">
        <v>195</v>
      </c>
      <c r="E11" s="7"/>
      <c r="F11" s="7"/>
      <c r="G11" s="6"/>
      <c r="H11" s="7"/>
      <c r="I11" s="7"/>
      <c r="J11" s="7"/>
      <c r="K11" s="7"/>
    </row>
    <row r="12" customFormat="false" ht="15" hidden="false" customHeight="false" outlineLevel="0" collapsed="false">
      <c r="A12" s="17" t="s">
        <v>196</v>
      </c>
      <c r="B12" s="16" t="s">
        <v>197</v>
      </c>
      <c r="C12" s="16" t="s">
        <v>198</v>
      </c>
      <c r="D12" s="16" t="s">
        <v>199</v>
      </c>
      <c r="E12" s="7"/>
      <c r="F12" s="7"/>
      <c r="G12" s="6"/>
      <c r="H12" s="7"/>
      <c r="I12" s="7"/>
      <c r="J12" s="7"/>
      <c r="K12" s="7"/>
    </row>
  </sheetData>
  <dataValidations count="1">
    <dataValidation allowBlank="true" errorStyle="stop" operator="between" showDropDown="false" showErrorMessage="false" showInputMessage="false" sqref="G5:G12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200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201</v>
      </c>
      <c r="B4" s="5" t="s">
        <v>202</v>
      </c>
      <c r="C4" s="5" t="s">
        <v>133</v>
      </c>
      <c r="D4" s="5" t="s">
        <v>134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203</v>
      </c>
      <c r="B5" s="16" t="s">
        <v>204</v>
      </c>
      <c r="C5" s="16" t="s">
        <v>205</v>
      </c>
      <c r="D5" s="16" t="s">
        <v>206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6" t="s">
        <v>207</v>
      </c>
      <c r="B6" s="16" t="s">
        <v>208</v>
      </c>
      <c r="C6" s="16" t="s">
        <v>209</v>
      </c>
      <c r="D6" s="16" t="s">
        <v>210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6" t="s">
        <v>211</v>
      </c>
      <c r="B7" s="16" t="s">
        <v>212</v>
      </c>
      <c r="C7" s="16" t="s">
        <v>213</v>
      </c>
      <c r="D7" s="16" t="s">
        <v>214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215</v>
      </c>
      <c r="B8" s="16" t="s">
        <v>216</v>
      </c>
      <c r="C8" s="16" t="s">
        <v>217</v>
      </c>
      <c r="D8" s="16" t="s">
        <v>218</v>
      </c>
      <c r="E8" s="7"/>
      <c r="F8" s="7"/>
      <c r="G8" s="6"/>
      <c r="H8" s="7"/>
      <c r="I8" s="7"/>
      <c r="J8" s="7"/>
      <c r="K8" s="7"/>
    </row>
    <row r="9" customFormat="false" ht="15" hidden="false" customHeight="false" outlineLevel="0" collapsed="false">
      <c r="A9" s="16" t="s">
        <v>219</v>
      </c>
      <c r="B9" s="16" t="s">
        <v>220</v>
      </c>
      <c r="C9" s="16" t="s">
        <v>221</v>
      </c>
      <c r="D9" s="16" t="s">
        <v>222</v>
      </c>
      <c r="E9" s="7"/>
      <c r="F9" s="7"/>
      <c r="G9" s="6"/>
      <c r="H9" s="7"/>
      <c r="I9" s="7"/>
      <c r="J9" s="7"/>
      <c r="K9" s="7"/>
    </row>
    <row r="10" customFormat="false" ht="15" hidden="false" customHeight="false" outlineLevel="0" collapsed="false">
      <c r="A10" s="16" t="s">
        <v>223</v>
      </c>
      <c r="B10" s="16" t="s">
        <v>224</v>
      </c>
      <c r="C10" s="17" t="s">
        <v>225</v>
      </c>
      <c r="D10" s="16" t="s">
        <v>226</v>
      </c>
      <c r="E10" s="7"/>
      <c r="F10" s="7"/>
      <c r="G10" s="6"/>
      <c r="H10" s="7"/>
      <c r="I10" s="7"/>
      <c r="J10" s="7"/>
      <c r="K10" s="7"/>
    </row>
    <row r="11" customFormat="false" ht="15" hidden="false" customHeight="false" outlineLevel="0" collapsed="false">
      <c r="A11" s="16" t="s">
        <v>227</v>
      </c>
      <c r="B11" s="16" t="s">
        <v>228</v>
      </c>
      <c r="C11" s="16" t="s">
        <v>229</v>
      </c>
      <c r="D11" s="16" t="s">
        <v>230</v>
      </c>
      <c r="E11" s="7"/>
      <c r="F11" s="7"/>
      <c r="G11" s="6"/>
      <c r="H11" s="7"/>
      <c r="I11" s="7"/>
      <c r="J11" s="7"/>
      <c r="K11" s="7"/>
    </row>
    <row r="12" customFormat="false" ht="15" hidden="false" customHeight="false" outlineLevel="0" collapsed="false">
      <c r="A12" s="16" t="s">
        <v>231</v>
      </c>
      <c r="B12" s="16" t="s">
        <v>232</v>
      </c>
      <c r="C12" s="16" t="s">
        <v>233</v>
      </c>
      <c r="D12" s="16" t="s">
        <v>234</v>
      </c>
      <c r="E12" s="7"/>
      <c r="F12" s="7"/>
      <c r="G12" s="6"/>
      <c r="H12" s="7"/>
      <c r="I12" s="7"/>
      <c r="J12" s="7"/>
      <c r="K12" s="7"/>
    </row>
  </sheetData>
  <dataValidations count="1">
    <dataValidation allowBlank="true" errorStyle="stop" operator="between" showDropDown="false" showErrorMessage="false" showInputMessage="false" sqref="G5:G12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235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236</v>
      </c>
      <c r="B4" s="5" t="s">
        <v>237</v>
      </c>
      <c r="C4" s="5" t="s">
        <v>238</v>
      </c>
      <c r="D4" s="5" t="s">
        <v>239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240</v>
      </c>
      <c r="B5" s="16" t="s">
        <v>241</v>
      </c>
      <c r="C5" s="17" t="s">
        <v>242</v>
      </c>
      <c r="D5" s="16" t="s">
        <v>243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6" t="s">
        <v>244</v>
      </c>
      <c r="B6" s="17" t="s">
        <v>245</v>
      </c>
      <c r="C6" s="16" t="s">
        <v>246</v>
      </c>
      <c r="D6" s="16" t="s">
        <v>247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6" t="s">
        <v>248</v>
      </c>
      <c r="B7" s="16" t="s">
        <v>249</v>
      </c>
      <c r="C7" s="16" t="s">
        <v>250</v>
      </c>
      <c r="D7" s="16" t="s">
        <v>251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252</v>
      </c>
      <c r="B8" s="16" t="s">
        <v>253</v>
      </c>
      <c r="C8" s="16" t="s">
        <v>254</v>
      </c>
      <c r="D8" s="16" t="s">
        <v>255</v>
      </c>
      <c r="E8" s="7"/>
      <c r="F8" s="7"/>
      <c r="G8" s="6"/>
      <c r="H8" s="7"/>
      <c r="I8" s="7"/>
      <c r="J8" s="7"/>
      <c r="K8" s="7"/>
    </row>
    <row r="9" customFormat="false" ht="15" hidden="false" customHeight="false" outlineLevel="0" collapsed="false">
      <c r="A9" s="16" t="s">
        <v>256</v>
      </c>
      <c r="B9" s="16" t="s">
        <v>257</v>
      </c>
      <c r="C9" s="16" t="s">
        <v>258</v>
      </c>
      <c r="D9" s="16" t="s">
        <v>259</v>
      </c>
      <c r="E9" s="7"/>
      <c r="F9" s="7"/>
      <c r="G9" s="6"/>
      <c r="H9" s="7"/>
      <c r="I9" s="7"/>
      <c r="J9" s="7"/>
      <c r="K9" s="7"/>
    </row>
    <row r="10" customFormat="false" ht="15" hidden="false" customHeight="false" outlineLevel="0" collapsed="false">
      <c r="A10" s="16" t="s">
        <v>260</v>
      </c>
      <c r="B10" s="16" t="s">
        <v>261</v>
      </c>
      <c r="C10" s="16" t="s">
        <v>262</v>
      </c>
      <c r="D10" s="16" t="s">
        <v>263</v>
      </c>
      <c r="E10" s="7"/>
      <c r="F10" s="7"/>
      <c r="G10" s="6"/>
      <c r="H10" s="7"/>
      <c r="I10" s="7"/>
      <c r="J10" s="7"/>
      <c r="K10" s="7"/>
    </row>
    <row r="11" customFormat="false" ht="15" hidden="false" customHeight="false" outlineLevel="0" collapsed="false">
      <c r="A11" s="16" t="s">
        <v>264</v>
      </c>
      <c r="B11" s="16" t="s">
        <v>265</v>
      </c>
      <c r="C11" s="16" t="s">
        <v>266</v>
      </c>
      <c r="D11" s="16" t="s">
        <v>267</v>
      </c>
      <c r="E11" s="7"/>
      <c r="F11" s="7"/>
      <c r="G11" s="6"/>
      <c r="H11" s="7"/>
      <c r="I11" s="7"/>
      <c r="J11" s="7"/>
      <c r="K11" s="7"/>
    </row>
    <row r="12" customFormat="false" ht="15" hidden="false" customHeight="false" outlineLevel="0" collapsed="false">
      <c r="A12" s="16" t="s">
        <v>268</v>
      </c>
      <c r="B12" s="16" t="s">
        <v>269</v>
      </c>
      <c r="C12" s="17" t="s">
        <v>270</v>
      </c>
      <c r="D12" s="16" t="s">
        <v>271</v>
      </c>
      <c r="E12" s="7"/>
      <c r="F12" s="7"/>
      <c r="G12" s="6"/>
      <c r="H12" s="7"/>
      <c r="I12" s="7"/>
      <c r="J12" s="7"/>
      <c r="K12" s="7"/>
    </row>
  </sheetData>
  <dataValidations count="1">
    <dataValidation allowBlank="true" errorStyle="stop" operator="between" showDropDown="false" showErrorMessage="false" showInputMessage="false" sqref="G5:G12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272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273</v>
      </c>
      <c r="B4" s="5" t="s">
        <v>274</v>
      </c>
      <c r="C4" s="5" t="s">
        <v>275</v>
      </c>
      <c r="D4" s="5" t="s">
        <v>134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276</v>
      </c>
      <c r="B5" s="17" t="s">
        <v>277</v>
      </c>
      <c r="C5" s="16" t="s">
        <v>278</v>
      </c>
      <c r="D5" s="17" t="s">
        <v>279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7" t="s">
        <v>280</v>
      </c>
      <c r="B6" s="17" t="s">
        <v>281</v>
      </c>
      <c r="C6" s="16" t="s">
        <v>282</v>
      </c>
      <c r="D6" s="17" t="s">
        <v>283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7" t="s">
        <v>284</v>
      </c>
      <c r="B7" s="17" t="s">
        <v>285</v>
      </c>
      <c r="C7" s="16" t="s">
        <v>286</v>
      </c>
      <c r="D7" s="17" t="s">
        <v>287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7" t="s">
        <v>288</v>
      </c>
      <c r="B8" s="17" t="s">
        <v>289</v>
      </c>
      <c r="C8" s="16" t="s">
        <v>290</v>
      </c>
      <c r="D8" s="17" t="s">
        <v>291</v>
      </c>
      <c r="E8" s="7"/>
      <c r="F8" s="7"/>
      <c r="G8" s="6"/>
      <c r="H8" s="7"/>
      <c r="I8" s="7"/>
      <c r="J8" s="7"/>
      <c r="K8" s="7"/>
    </row>
    <row r="9" customFormat="false" ht="15" hidden="false" customHeight="false" outlineLevel="0" collapsed="false">
      <c r="A9" s="17" t="s">
        <v>292</v>
      </c>
      <c r="B9" s="17" t="s">
        <v>293</v>
      </c>
      <c r="C9" s="16" t="s">
        <v>294</v>
      </c>
      <c r="D9" s="16" t="s">
        <v>295</v>
      </c>
      <c r="E9" s="7"/>
      <c r="F9" s="7"/>
      <c r="G9" s="6"/>
      <c r="H9" s="7"/>
      <c r="I9" s="7"/>
      <c r="J9" s="7"/>
      <c r="K9" s="7"/>
    </row>
    <row r="10" customFormat="false" ht="15" hidden="false" customHeight="false" outlineLevel="0" collapsed="false">
      <c r="A10" s="16" t="s">
        <v>296</v>
      </c>
      <c r="B10" s="17" t="s">
        <v>297</v>
      </c>
      <c r="C10" s="16" t="s">
        <v>298</v>
      </c>
      <c r="D10" s="17" t="s">
        <v>299</v>
      </c>
      <c r="E10" s="7"/>
      <c r="F10" s="7"/>
      <c r="G10" s="6"/>
      <c r="H10" s="7"/>
      <c r="I10" s="7"/>
      <c r="J10" s="7"/>
      <c r="K10" s="7"/>
    </row>
    <row r="11" customFormat="false" ht="15" hidden="false" customHeight="false" outlineLevel="0" collapsed="false">
      <c r="A11" s="17" t="s">
        <v>300</v>
      </c>
      <c r="B11" s="17" t="s">
        <v>301</v>
      </c>
      <c r="C11" s="16" t="s">
        <v>302</v>
      </c>
      <c r="D11" s="17" t="s">
        <v>303</v>
      </c>
      <c r="E11" s="7"/>
      <c r="F11" s="7"/>
      <c r="G11" s="6"/>
      <c r="H11" s="7"/>
      <c r="I11" s="7"/>
      <c r="J11" s="7"/>
      <c r="K11" s="7"/>
    </row>
    <row r="12" customFormat="false" ht="15" hidden="false" customHeight="false" outlineLevel="0" collapsed="false">
      <c r="A12" s="16" t="s">
        <v>304</v>
      </c>
      <c r="B12" s="16" t="s">
        <v>305</v>
      </c>
      <c r="C12" s="16" t="s">
        <v>306</v>
      </c>
      <c r="D12" s="16" t="s">
        <v>307</v>
      </c>
      <c r="E12" s="7"/>
      <c r="F12" s="7"/>
      <c r="G12" s="6"/>
      <c r="H12" s="7"/>
      <c r="I12" s="7"/>
      <c r="J12" s="7"/>
      <c r="K12" s="7"/>
    </row>
  </sheetData>
  <dataValidations count="1">
    <dataValidation allowBlank="true" errorStyle="stop" operator="between" showDropDown="false" showErrorMessage="false" showInputMessage="false" sqref="G5:G12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308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273</v>
      </c>
      <c r="B4" s="5" t="s">
        <v>274</v>
      </c>
      <c r="C4" s="5" t="s">
        <v>275</v>
      </c>
      <c r="D4" s="5" t="s">
        <v>134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7" t="s">
        <v>309</v>
      </c>
      <c r="B5" s="17" t="s">
        <v>310</v>
      </c>
      <c r="C5" s="16" t="s">
        <v>311</v>
      </c>
      <c r="D5" s="16" t="s">
        <v>312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7" t="s">
        <v>313</v>
      </c>
      <c r="B6" s="17" t="s">
        <v>314</v>
      </c>
      <c r="C6" s="16" t="s">
        <v>315</v>
      </c>
      <c r="D6" s="17" t="s">
        <v>316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7" t="s">
        <v>317</v>
      </c>
      <c r="B7" s="17" t="s">
        <v>318</v>
      </c>
      <c r="C7" s="16" t="s">
        <v>319</v>
      </c>
      <c r="D7" s="16" t="s">
        <v>320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7" t="s">
        <v>321</v>
      </c>
      <c r="B8" s="17" t="s">
        <v>322</v>
      </c>
      <c r="C8" s="16" t="s">
        <v>323</v>
      </c>
      <c r="D8" s="16" t="s">
        <v>324</v>
      </c>
      <c r="E8" s="7"/>
      <c r="F8" s="7"/>
      <c r="G8" s="6"/>
      <c r="H8" s="7"/>
      <c r="I8" s="7"/>
      <c r="J8" s="7"/>
      <c r="K8" s="7"/>
    </row>
    <row r="9" customFormat="false" ht="15" hidden="false" customHeight="false" outlineLevel="0" collapsed="false">
      <c r="A9" s="17" t="s">
        <v>325</v>
      </c>
      <c r="B9" s="16" t="s">
        <v>326</v>
      </c>
      <c r="C9" s="17" t="s">
        <v>327</v>
      </c>
      <c r="D9" s="17" t="s">
        <v>328</v>
      </c>
      <c r="E9" s="7"/>
      <c r="F9" s="7"/>
      <c r="G9" s="6"/>
      <c r="H9" s="7"/>
      <c r="I9" s="7"/>
      <c r="J9" s="7"/>
      <c r="K9" s="7"/>
    </row>
    <row r="10" customFormat="false" ht="15" hidden="false" customHeight="false" outlineLevel="0" collapsed="false">
      <c r="A10" s="16" t="s">
        <v>329</v>
      </c>
      <c r="B10" s="17" t="s">
        <v>330</v>
      </c>
      <c r="C10" s="16" t="s">
        <v>331</v>
      </c>
      <c r="D10" s="17" t="s">
        <v>332</v>
      </c>
      <c r="E10" s="7"/>
      <c r="F10" s="7"/>
      <c r="G10" s="6"/>
      <c r="H10" s="7"/>
      <c r="I10" s="7"/>
      <c r="J10" s="7"/>
      <c r="K10" s="7"/>
    </row>
    <row r="11" customFormat="false" ht="15" hidden="false" customHeight="false" outlineLevel="0" collapsed="false">
      <c r="A11" s="16" t="s">
        <v>333</v>
      </c>
      <c r="B11" s="17" t="s">
        <v>334</v>
      </c>
      <c r="C11" s="16" t="s">
        <v>335</v>
      </c>
      <c r="D11" s="16" t="s">
        <v>336</v>
      </c>
      <c r="E11" s="7"/>
      <c r="F11" s="7"/>
      <c r="G11" s="6"/>
      <c r="H11" s="7"/>
      <c r="I11" s="7"/>
      <c r="J11" s="7"/>
      <c r="K11" s="7"/>
    </row>
    <row r="12" customFormat="false" ht="15" hidden="false" customHeight="false" outlineLevel="0" collapsed="false">
      <c r="A12" s="16" t="s">
        <v>337</v>
      </c>
      <c r="B12" s="16" t="s">
        <v>338</v>
      </c>
      <c r="C12" s="16" t="s">
        <v>339</v>
      </c>
      <c r="D12" s="16" t="s">
        <v>340</v>
      </c>
      <c r="E12" s="7"/>
      <c r="F12" s="7"/>
      <c r="G12" s="6"/>
      <c r="H12" s="7"/>
      <c r="I12" s="7"/>
      <c r="J12" s="7"/>
      <c r="K12" s="7"/>
    </row>
  </sheetData>
  <dataValidations count="1">
    <dataValidation allowBlank="true" errorStyle="stop" operator="between" showDropDown="false" showErrorMessage="false" showInputMessage="false" sqref="G5:G12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341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273</v>
      </c>
      <c r="B4" s="5" t="s">
        <v>274</v>
      </c>
      <c r="C4" s="5" t="s">
        <v>275</v>
      </c>
      <c r="D4" s="5" t="s">
        <v>134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342</v>
      </c>
      <c r="B5" s="16" t="s">
        <v>343</v>
      </c>
      <c r="C5" s="16" t="s">
        <v>344</v>
      </c>
      <c r="D5" s="16" t="s">
        <v>345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6" t="s">
        <v>346</v>
      </c>
      <c r="B6" s="17" t="s">
        <v>347</v>
      </c>
      <c r="C6" s="16" t="s">
        <v>348</v>
      </c>
      <c r="D6" s="16" t="s">
        <v>349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7" t="s">
        <v>350</v>
      </c>
      <c r="B7" s="17" t="s">
        <v>351</v>
      </c>
      <c r="C7" s="16" t="s">
        <v>352</v>
      </c>
      <c r="D7" s="17" t="s">
        <v>353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354</v>
      </c>
      <c r="B8" s="17" t="s">
        <v>355</v>
      </c>
      <c r="C8" s="16" t="s">
        <v>356</v>
      </c>
      <c r="D8" s="16" t="s">
        <v>357</v>
      </c>
      <c r="E8" s="7"/>
      <c r="F8" s="7"/>
      <c r="G8" s="6"/>
      <c r="H8" s="7"/>
      <c r="I8" s="7"/>
      <c r="J8" s="7"/>
      <c r="K8" s="7"/>
    </row>
    <row r="9" customFormat="false" ht="15" hidden="false" customHeight="false" outlineLevel="0" collapsed="false">
      <c r="A9" s="17" t="s">
        <v>358</v>
      </c>
      <c r="B9" s="16" t="s">
        <v>359</v>
      </c>
      <c r="C9" s="16" t="s">
        <v>360</v>
      </c>
      <c r="D9" s="16" t="s">
        <v>361</v>
      </c>
      <c r="E9" s="7"/>
      <c r="F9" s="7"/>
      <c r="G9" s="6"/>
      <c r="H9" s="7"/>
      <c r="I9" s="7"/>
      <c r="J9" s="7"/>
      <c r="K9" s="7"/>
    </row>
    <row r="10" customFormat="false" ht="15" hidden="false" customHeight="false" outlineLevel="0" collapsed="false">
      <c r="A10" s="17" t="s">
        <v>362</v>
      </c>
      <c r="B10" s="16" t="s">
        <v>363</v>
      </c>
      <c r="C10" s="17" t="s">
        <v>364</v>
      </c>
      <c r="D10" s="16" t="s">
        <v>365</v>
      </c>
      <c r="E10" s="7"/>
      <c r="F10" s="7"/>
      <c r="G10" s="6"/>
      <c r="H10" s="7"/>
      <c r="I10" s="7"/>
      <c r="J10" s="7"/>
      <c r="K10" s="7"/>
    </row>
    <row r="11" customFormat="false" ht="15" hidden="false" customHeight="false" outlineLevel="0" collapsed="false">
      <c r="A11" s="17" t="s">
        <v>366</v>
      </c>
      <c r="B11" s="16" t="s">
        <v>367</v>
      </c>
      <c r="C11" s="17" t="s">
        <v>368</v>
      </c>
      <c r="D11" s="16" t="s">
        <v>369</v>
      </c>
      <c r="E11" s="7"/>
      <c r="F11" s="7"/>
      <c r="G11" s="6"/>
      <c r="H11" s="7"/>
      <c r="I11" s="7"/>
      <c r="J11" s="7"/>
      <c r="K11" s="7"/>
    </row>
    <row r="12" customFormat="false" ht="15" hidden="false" customHeight="false" outlineLevel="0" collapsed="false">
      <c r="A12" s="17" t="s">
        <v>370</v>
      </c>
      <c r="B12" s="16" t="s">
        <v>371</v>
      </c>
      <c r="C12" s="16" t="s">
        <v>372</v>
      </c>
      <c r="D12" s="16" t="s">
        <v>373</v>
      </c>
      <c r="E12" s="7"/>
      <c r="F12" s="7"/>
      <c r="G12" s="6"/>
      <c r="H12" s="7"/>
      <c r="I12" s="7"/>
      <c r="J12" s="7"/>
      <c r="K12" s="7"/>
    </row>
  </sheetData>
  <dataValidations count="1">
    <dataValidation allowBlank="true" errorStyle="stop" operator="between" showDropDown="false" showErrorMessage="false" showInputMessage="false" sqref="G5:G12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374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201</v>
      </c>
      <c r="B4" s="5" t="s">
        <v>375</v>
      </c>
      <c r="C4" s="5" t="s">
        <v>376</v>
      </c>
      <c r="D4" s="5" t="s">
        <v>377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378</v>
      </c>
      <c r="B5" s="16" t="s">
        <v>379</v>
      </c>
      <c r="C5" s="17" t="s">
        <v>380</v>
      </c>
      <c r="D5" s="16" t="s">
        <v>381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7" t="s">
        <v>382</v>
      </c>
      <c r="B6" s="16" t="s">
        <v>383</v>
      </c>
      <c r="C6" s="17" t="s">
        <v>384</v>
      </c>
      <c r="D6" s="16" t="s">
        <v>385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7" t="s">
        <v>386</v>
      </c>
      <c r="B7" s="16" t="s">
        <v>387</v>
      </c>
      <c r="C7" s="16" t="s">
        <v>388</v>
      </c>
      <c r="D7" s="16" t="s">
        <v>389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390</v>
      </c>
      <c r="B8" s="17" t="s">
        <v>391</v>
      </c>
      <c r="C8" s="16" t="s">
        <v>392</v>
      </c>
      <c r="D8" s="16" t="s">
        <v>393</v>
      </c>
      <c r="E8" s="7"/>
      <c r="F8" s="7"/>
      <c r="G8" s="6"/>
      <c r="H8" s="7"/>
      <c r="I8" s="7"/>
      <c r="J8" s="7"/>
      <c r="K8" s="7"/>
    </row>
  </sheetData>
  <dataValidations count="1">
    <dataValidation allowBlank="true" errorStyle="stop" operator="between" showDropDown="false" showErrorMessage="false" showInputMessage="false" sqref="G5:G8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394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395</v>
      </c>
      <c r="B4" s="5" t="s">
        <v>396</v>
      </c>
      <c r="C4" s="5" t="s">
        <v>397</v>
      </c>
      <c r="D4" s="5" t="s">
        <v>398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399</v>
      </c>
      <c r="B5" s="16" t="s">
        <v>400</v>
      </c>
      <c r="C5" s="17" t="s">
        <v>401</v>
      </c>
      <c r="D5" s="16" t="s">
        <v>402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6" t="s">
        <v>403</v>
      </c>
      <c r="B6" s="17" t="s">
        <v>404</v>
      </c>
      <c r="C6" s="17" t="s">
        <v>405</v>
      </c>
      <c r="D6" s="16" t="s">
        <v>406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6" t="s">
        <v>407</v>
      </c>
      <c r="B7" s="17" t="s">
        <v>408</v>
      </c>
      <c r="C7" s="17" t="s">
        <v>409</v>
      </c>
      <c r="D7" s="17" t="s">
        <v>410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411</v>
      </c>
      <c r="B8" s="16" t="s">
        <v>412</v>
      </c>
      <c r="C8" s="16" t="s">
        <v>413</v>
      </c>
      <c r="D8" s="16" t="s">
        <v>414</v>
      </c>
      <c r="E8" s="7"/>
      <c r="F8" s="7"/>
      <c r="G8" s="6"/>
      <c r="H8" s="7"/>
      <c r="I8" s="7"/>
      <c r="J8" s="7"/>
      <c r="K8" s="7"/>
    </row>
  </sheetData>
  <dataValidations count="1">
    <dataValidation allowBlank="true" errorStyle="stop" operator="between" showDropDown="false" showErrorMessage="false" showInputMessage="false" sqref="G5:G8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415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273</v>
      </c>
      <c r="B4" s="5" t="s">
        <v>416</v>
      </c>
      <c r="C4" s="5" t="s">
        <v>417</v>
      </c>
      <c r="D4" s="5" t="s">
        <v>418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419</v>
      </c>
      <c r="B5" s="16" t="s">
        <v>420</v>
      </c>
      <c r="C5" s="16" t="s">
        <v>421</v>
      </c>
      <c r="D5" s="16" t="s">
        <v>422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6" t="s">
        <v>423</v>
      </c>
      <c r="B6" s="17" t="s">
        <v>424</v>
      </c>
      <c r="C6" s="16" t="s">
        <v>425</v>
      </c>
      <c r="D6" s="16" t="s">
        <v>426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6" t="s">
        <v>427</v>
      </c>
      <c r="B7" s="17" t="s">
        <v>428</v>
      </c>
      <c r="C7" s="16" t="s">
        <v>429</v>
      </c>
      <c r="D7" s="16" t="s">
        <v>430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431</v>
      </c>
      <c r="B8" s="16" t="s">
        <v>432</v>
      </c>
      <c r="C8" s="16" t="s">
        <v>433</v>
      </c>
      <c r="D8" s="16" t="s">
        <v>434</v>
      </c>
      <c r="E8" s="7"/>
      <c r="F8" s="7"/>
      <c r="G8" s="6"/>
      <c r="H8" s="7"/>
      <c r="I8" s="7"/>
      <c r="J8" s="7"/>
      <c r="K8" s="7"/>
    </row>
    <row r="9" customFormat="false" ht="15" hidden="false" customHeight="false" outlineLevel="0" collapsed="false">
      <c r="A9" s="16" t="s">
        <v>435</v>
      </c>
      <c r="B9" s="17" t="s">
        <v>436</v>
      </c>
      <c r="C9" s="16" t="s">
        <v>437</v>
      </c>
      <c r="D9" s="16" t="s">
        <v>438</v>
      </c>
      <c r="E9" s="7"/>
      <c r="F9" s="7"/>
      <c r="G9" s="6"/>
      <c r="H9" s="7"/>
      <c r="I9" s="7"/>
      <c r="J9" s="7"/>
      <c r="K9" s="7"/>
    </row>
    <row r="10" customFormat="false" ht="15" hidden="false" customHeight="false" outlineLevel="0" collapsed="false">
      <c r="A10" s="16" t="s">
        <v>439</v>
      </c>
      <c r="B10" s="16" t="s">
        <v>440</v>
      </c>
      <c r="C10" s="16" t="s">
        <v>441</v>
      </c>
      <c r="D10" s="16" t="s">
        <v>442</v>
      </c>
      <c r="E10" s="7"/>
      <c r="F10" s="7"/>
      <c r="G10" s="6"/>
      <c r="H10" s="7"/>
      <c r="I10" s="7"/>
      <c r="J10" s="7"/>
      <c r="K10" s="7"/>
    </row>
    <row r="11" customFormat="false" ht="15" hidden="false" customHeight="false" outlineLevel="0" collapsed="false">
      <c r="A11" s="16" t="s">
        <v>443</v>
      </c>
      <c r="B11" s="16" t="s">
        <v>444</v>
      </c>
      <c r="C11" s="16" t="s">
        <v>445</v>
      </c>
      <c r="D11" s="16" t="s">
        <v>446</v>
      </c>
      <c r="E11" s="7"/>
      <c r="F11" s="7"/>
      <c r="G11" s="6"/>
      <c r="H11" s="7"/>
      <c r="I11" s="7"/>
      <c r="J11" s="7"/>
      <c r="K11" s="7"/>
    </row>
    <row r="12" customFormat="false" ht="15" hidden="false" customHeight="false" outlineLevel="0" collapsed="false">
      <c r="A12" s="16" t="s">
        <v>447</v>
      </c>
      <c r="B12" s="16" t="s">
        <v>448</v>
      </c>
      <c r="C12" s="16" t="s">
        <v>449</v>
      </c>
      <c r="D12" s="16" t="s">
        <v>450</v>
      </c>
      <c r="E12" s="7"/>
      <c r="F12" s="7"/>
      <c r="G12" s="6"/>
      <c r="H12" s="7"/>
      <c r="I12" s="7"/>
      <c r="J12" s="7"/>
      <c r="K12" s="7"/>
    </row>
  </sheetData>
  <dataValidations count="1">
    <dataValidation allowBlank="true" errorStyle="stop" operator="between" showDropDown="false" showErrorMessage="false" showInputMessage="false" sqref="G5:G12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451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452</v>
      </c>
      <c r="B4" s="5" t="s">
        <v>453</v>
      </c>
      <c r="C4" s="5" t="s">
        <v>417</v>
      </c>
      <c r="D4" s="5" t="s">
        <v>454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455</v>
      </c>
      <c r="B5" s="17" t="s">
        <v>456</v>
      </c>
      <c r="C5" s="16" t="s">
        <v>457</v>
      </c>
      <c r="D5" s="16" t="s">
        <v>458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7" t="s">
        <v>459</v>
      </c>
      <c r="B6" s="17" t="s">
        <v>460</v>
      </c>
      <c r="C6" s="16" t="s">
        <v>461</v>
      </c>
      <c r="D6" s="16" t="s">
        <v>462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7" t="s">
        <v>463</v>
      </c>
      <c r="B7" s="17" t="s">
        <v>464</v>
      </c>
      <c r="C7" s="17" t="s">
        <v>465</v>
      </c>
      <c r="D7" s="16" t="s">
        <v>466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467</v>
      </c>
      <c r="B8" s="17" t="s">
        <v>468</v>
      </c>
      <c r="C8" s="17" t="s">
        <v>469</v>
      </c>
      <c r="D8" s="17" t="s">
        <v>470</v>
      </c>
      <c r="E8" s="7"/>
      <c r="F8" s="7"/>
      <c r="G8" s="6"/>
      <c r="H8" s="7"/>
      <c r="I8" s="7"/>
      <c r="J8" s="7"/>
      <c r="K8" s="7"/>
    </row>
    <row r="9" customFormat="false" ht="15" hidden="false" customHeight="false" outlineLevel="0" collapsed="false">
      <c r="A9" s="16" t="s">
        <v>471</v>
      </c>
      <c r="B9" s="17" t="s">
        <v>472</v>
      </c>
      <c r="C9" s="16" t="s">
        <v>473</v>
      </c>
      <c r="D9" s="17" t="s">
        <v>474</v>
      </c>
      <c r="E9" s="7"/>
      <c r="F9" s="7"/>
      <c r="G9" s="6"/>
      <c r="H9" s="7"/>
      <c r="I9" s="7"/>
      <c r="J9" s="7"/>
      <c r="K9" s="7"/>
    </row>
    <row r="10" customFormat="false" ht="15" hidden="false" customHeight="false" outlineLevel="0" collapsed="false">
      <c r="A10" s="16" t="s">
        <v>475</v>
      </c>
      <c r="B10" s="16" t="s">
        <v>476</v>
      </c>
      <c r="C10" s="17" t="s">
        <v>477</v>
      </c>
      <c r="D10" s="16" t="s">
        <v>478</v>
      </c>
      <c r="E10" s="7"/>
      <c r="F10" s="7"/>
      <c r="G10" s="6"/>
      <c r="H10" s="7"/>
      <c r="I10" s="7"/>
      <c r="J10" s="7"/>
      <c r="K10" s="7"/>
    </row>
    <row r="11" customFormat="false" ht="15" hidden="false" customHeight="false" outlineLevel="0" collapsed="false">
      <c r="A11" s="16" t="s">
        <v>479</v>
      </c>
      <c r="B11" s="17" t="s">
        <v>480</v>
      </c>
      <c r="C11" s="17" t="s">
        <v>481</v>
      </c>
      <c r="D11" s="17" t="s">
        <v>482</v>
      </c>
      <c r="E11" s="7"/>
      <c r="F11" s="7"/>
      <c r="G11" s="6"/>
      <c r="H11" s="7"/>
      <c r="I11" s="7"/>
      <c r="J11" s="7"/>
      <c r="K11" s="7"/>
    </row>
    <row r="12" customFormat="false" ht="15" hidden="false" customHeight="false" outlineLevel="0" collapsed="false">
      <c r="A12" s="16" t="s">
        <v>483</v>
      </c>
      <c r="B12" s="16" t="s">
        <v>484</v>
      </c>
      <c r="C12" s="17" t="s">
        <v>485</v>
      </c>
      <c r="D12" s="16" t="s">
        <v>486</v>
      </c>
      <c r="E12" s="7"/>
      <c r="F12" s="7"/>
      <c r="G12" s="6"/>
      <c r="H12" s="7"/>
      <c r="I12" s="7"/>
      <c r="J12" s="7"/>
      <c r="K12" s="7"/>
    </row>
  </sheetData>
  <dataValidations count="1">
    <dataValidation allowBlank="true" errorStyle="stop" operator="between" showDropDown="false" showErrorMessage="false" showInputMessage="false" sqref="G5:G12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487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452</v>
      </c>
      <c r="B4" s="5" t="s">
        <v>453</v>
      </c>
      <c r="C4" s="5" t="s">
        <v>417</v>
      </c>
      <c r="D4" s="5" t="s">
        <v>454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488</v>
      </c>
      <c r="B5" s="16" t="s">
        <v>489</v>
      </c>
      <c r="C5" s="16" t="s">
        <v>490</v>
      </c>
      <c r="D5" s="17" t="s">
        <v>491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6" t="s">
        <v>492</v>
      </c>
      <c r="B6" s="16" t="s">
        <v>493</v>
      </c>
      <c r="C6" s="16" t="s">
        <v>494</v>
      </c>
      <c r="D6" s="16" t="s">
        <v>495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6" t="s">
        <v>496</v>
      </c>
      <c r="B7" s="16" t="s">
        <v>497</v>
      </c>
      <c r="C7" s="16" t="s">
        <v>498</v>
      </c>
      <c r="D7" s="16" t="s">
        <v>499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7" t="s">
        <v>500</v>
      </c>
      <c r="B8" s="17" t="s">
        <v>501</v>
      </c>
      <c r="C8" s="16" t="s">
        <v>502</v>
      </c>
      <c r="D8" s="16" t="s">
        <v>503</v>
      </c>
      <c r="E8" s="7"/>
      <c r="F8" s="7"/>
      <c r="G8" s="6"/>
      <c r="H8" s="7"/>
      <c r="I8" s="7"/>
      <c r="J8" s="7"/>
      <c r="K8" s="7"/>
    </row>
  </sheetData>
  <dataValidations count="1">
    <dataValidation allowBlank="true" errorStyle="stop" operator="between" showDropDown="false" showErrorMessage="false" showInputMessage="false" sqref="G5:G8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24"/>
  </cols>
  <sheetData>
    <row r="1" customFormat="false" ht="21.6" hidden="false" customHeight="false" outlineLevel="0" collapsed="false">
      <c r="A1" s="14" t="s">
        <v>504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505</v>
      </c>
      <c r="B4" s="5" t="s">
        <v>506</v>
      </c>
      <c r="C4" s="15" t="s">
        <v>507</v>
      </c>
      <c r="D4" s="15" t="s">
        <v>508</v>
      </c>
      <c r="E4" s="15" t="s">
        <v>14</v>
      </c>
      <c r="F4" s="15" t="s">
        <v>509</v>
      </c>
      <c r="G4" s="15" t="s">
        <v>18</v>
      </c>
    </row>
    <row r="5" customFormat="false" ht="15" hidden="false" customHeight="false" outlineLevel="0" collapsed="false">
      <c r="A5" s="17" t="s">
        <v>510</v>
      </c>
      <c r="B5" s="17" t="s">
        <v>511</v>
      </c>
      <c r="C5" s="7"/>
      <c r="D5" s="7"/>
      <c r="E5" s="6"/>
      <c r="F5" s="7"/>
      <c r="G5" s="7"/>
    </row>
    <row r="6" customFormat="false" ht="15" hidden="false" customHeight="false" outlineLevel="0" collapsed="false">
      <c r="A6" s="17" t="s">
        <v>512</v>
      </c>
      <c r="B6" s="17" t="s">
        <v>513</v>
      </c>
      <c r="C6" s="7"/>
      <c r="D6" s="7"/>
      <c r="E6" s="6"/>
      <c r="F6" s="7"/>
      <c r="G6" s="7"/>
    </row>
    <row r="7" customFormat="false" ht="15" hidden="false" customHeight="false" outlineLevel="0" collapsed="false">
      <c r="A7" s="17" t="s">
        <v>514</v>
      </c>
      <c r="B7" s="17" t="s">
        <v>515</v>
      </c>
      <c r="C7" s="7"/>
      <c r="D7" s="7"/>
      <c r="E7" s="6"/>
      <c r="F7" s="7"/>
      <c r="G7" s="7"/>
    </row>
    <row r="8" customFormat="false" ht="15" hidden="false" customHeight="false" outlineLevel="0" collapsed="false">
      <c r="A8" s="17" t="s">
        <v>516</v>
      </c>
      <c r="B8" s="17" t="s">
        <v>513</v>
      </c>
      <c r="C8" s="7"/>
      <c r="D8" s="7"/>
      <c r="E8" s="6"/>
      <c r="F8" s="7"/>
      <c r="G8" s="7"/>
    </row>
    <row r="9" customFormat="false" ht="15" hidden="false" customHeight="false" outlineLevel="0" collapsed="false">
      <c r="A9" s="17" t="s">
        <v>517</v>
      </c>
      <c r="B9" s="17" t="s">
        <v>518</v>
      </c>
      <c r="C9" s="7"/>
      <c r="D9" s="7"/>
      <c r="E9" s="6"/>
      <c r="F9" s="7"/>
      <c r="G9" s="7"/>
    </row>
    <row r="10" customFormat="false" ht="15" hidden="false" customHeight="false" outlineLevel="0" collapsed="false">
      <c r="A10" s="17" t="s">
        <v>519</v>
      </c>
      <c r="B10" s="17" t="s">
        <v>520</v>
      </c>
      <c r="C10" s="7"/>
      <c r="D10" s="7"/>
      <c r="E10" s="6"/>
      <c r="F10" s="7"/>
      <c r="G10" s="7"/>
    </row>
    <row r="11" customFormat="false" ht="15" hidden="false" customHeight="false" outlineLevel="0" collapsed="false">
      <c r="A11" s="16" t="s">
        <v>521</v>
      </c>
      <c r="B11" s="16" t="s">
        <v>522</v>
      </c>
      <c r="C11" s="7"/>
      <c r="D11" s="7"/>
      <c r="E11" s="6"/>
      <c r="F11" s="7"/>
      <c r="G11" s="7"/>
    </row>
    <row r="12" customFormat="false" ht="15" hidden="false" customHeight="false" outlineLevel="0" collapsed="false">
      <c r="A12" s="16" t="s">
        <v>523</v>
      </c>
      <c r="B12" s="17" t="s">
        <v>524</v>
      </c>
      <c r="C12" s="7"/>
      <c r="D12" s="7"/>
      <c r="E12" s="6"/>
      <c r="F12" s="7"/>
      <c r="G12" s="7"/>
    </row>
    <row r="13" customFormat="false" ht="15" hidden="false" customHeight="false" outlineLevel="0" collapsed="false">
      <c r="A13" s="16" t="s">
        <v>525</v>
      </c>
      <c r="B13" s="17" t="s">
        <v>526</v>
      </c>
      <c r="C13" s="7"/>
      <c r="D13" s="7"/>
      <c r="E13" s="6"/>
      <c r="F13" s="7"/>
      <c r="G13" s="7"/>
    </row>
    <row r="14" customFormat="false" ht="15" hidden="false" customHeight="false" outlineLevel="0" collapsed="false">
      <c r="A14" s="16" t="s">
        <v>527</v>
      </c>
      <c r="B14" s="16" t="s">
        <v>528</v>
      </c>
      <c r="C14" s="7"/>
      <c r="D14" s="7"/>
      <c r="E14" s="6"/>
      <c r="F14" s="7"/>
      <c r="G14" s="7"/>
    </row>
    <row r="15" customFormat="false" ht="15" hidden="false" customHeight="false" outlineLevel="0" collapsed="false">
      <c r="A15" s="16" t="s">
        <v>529</v>
      </c>
      <c r="B15" s="16" t="s">
        <v>530</v>
      </c>
      <c r="C15" s="7"/>
      <c r="D15" s="7"/>
      <c r="E15" s="6"/>
      <c r="F15" s="7"/>
      <c r="G15" s="7"/>
    </row>
    <row r="16" customFormat="false" ht="15" hidden="false" customHeight="false" outlineLevel="0" collapsed="false">
      <c r="A16" s="16" t="s">
        <v>531</v>
      </c>
      <c r="B16" s="17" t="s">
        <v>532</v>
      </c>
      <c r="C16" s="7"/>
      <c r="D16" s="7"/>
      <c r="E16" s="6"/>
      <c r="F16" s="7"/>
      <c r="G16" s="7"/>
    </row>
    <row r="17" customFormat="false" ht="15" hidden="false" customHeight="false" outlineLevel="0" collapsed="false">
      <c r="A17" s="17" t="s">
        <v>533</v>
      </c>
      <c r="B17" s="16" t="s">
        <v>534</v>
      </c>
      <c r="C17" s="7"/>
      <c r="D17" s="7"/>
      <c r="E17" s="6"/>
      <c r="F17" s="7"/>
      <c r="G17" s="7"/>
    </row>
  </sheetData>
  <dataValidations count="1">
    <dataValidation allowBlank="true" errorStyle="stop" operator="between" showDropDown="false" showErrorMessage="false" showInputMessage="false" sqref="E5:E17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535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273</v>
      </c>
      <c r="B4" s="5" t="s">
        <v>274</v>
      </c>
      <c r="C4" s="5" t="s">
        <v>275</v>
      </c>
      <c r="D4" s="5" t="s">
        <v>134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536</v>
      </c>
      <c r="B5" s="17" t="s">
        <v>537</v>
      </c>
      <c r="C5" s="16" t="s">
        <v>538</v>
      </c>
      <c r="D5" s="16" t="s">
        <v>539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6" t="s">
        <v>20</v>
      </c>
      <c r="B6" s="16" t="s">
        <v>540</v>
      </c>
      <c r="C6" s="16" t="s">
        <v>541</v>
      </c>
      <c r="D6" s="16" t="s">
        <v>542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6" t="s">
        <v>543</v>
      </c>
      <c r="B7" s="17" t="s">
        <v>544</v>
      </c>
      <c r="C7" s="16" t="s">
        <v>545</v>
      </c>
      <c r="D7" s="16" t="s">
        <v>546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7" t="s">
        <v>547</v>
      </c>
      <c r="B8" s="17" t="s">
        <v>548</v>
      </c>
      <c r="C8" s="16" t="s">
        <v>549</v>
      </c>
      <c r="D8" s="16" t="s">
        <v>550</v>
      </c>
      <c r="E8" s="7"/>
      <c r="F8" s="7"/>
      <c r="G8" s="6"/>
      <c r="H8" s="7"/>
      <c r="I8" s="7"/>
      <c r="J8" s="7"/>
      <c r="K8" s="7"/>
    </row>
  </sheetData>
  <dataValidations count="1">
    <dataValidation allowBlank="true" errorStyle="stop" operator="between" showDropDown="false" showErrorMessage="false" showInputMessage="false" sqref="G5:G8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551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552</v>
      </c>
      <c r="B4" s="5" t="s">
        <v>553</v>
      </c>
      <c r="C4" s="5" t="s">
        <v>554</v>
      </c>
      <c r="D4" s="5" t="s">
        <v>555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556</v>
      </c>
      <c r="B5" s="17" t="s">
        <v>557</v>
      </c>
      <c r="C5" s="17" t="s">
        <v>558</v>
      </c>
      <c r="D5" s="16" t="s">
        <v>559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6" t="s">
        <v>560</v>
      </c>
      <c r="B6" s="17" t="s">
        <v>561</v>
      </c>
      <c r="C6" s="17" t="s">
        <v>562</v>
      </c>
      <c r="D6" s="16" t="s">
        <v>563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6" t="s">
        <v>564</v>
      </c>
      <c r="B7" s="17" t="s">
        <v>565</v>
      </c>
      <c r="C7" s="16" t="s">
        <v>566</v>
      </c>
      <c r="D7" s="16" t="s">
        <v>567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568</v>
      </c>
      <c r="B8" s="17" t="s">
        <v>569</v>
      </c>
      <c r="C8" s="17" t="s">
        <v>570</v>
      </c>
      <c r="D8" s="16" t="s">
        <v>571</v>
      </c>
      <c r="E8" s="7"/>
      <c r="F8" s="7"/>
      <c r="G8" s="6"/>
      <c r="H8" s="7"/>
      <c r="I8" s="7"/>
      <c r="J8" s="7"/>
      <c r="K8" s="7"/>
    </row>
    <row r="9" customFormat="false" ht="15" hidden="false" customHeight="false" outlineLevel="0" collapsed="false">
      <c r="A9" s="17" t="s">
        <v>572</v>
      </c>
      <c r="B9" s="17" t="s">
        <v>573</v>
      </c>
      <c r="C9" s="17" t="s">
        <v>574</v>
      </c>
      <c r="D9" s="17" t="s">
        <v>575</v>
      </c>
      <c r="E9" s="7"/>
      <c r="F9" s="7"/>
      <c r="G9" s="6"/>
      <c r="H9" s="7"/>
      <c r="I9" s="7"/>
      <c r="J9" s="7"/>
      <c r="K9" s="7"/>
    </row>
    <row r="10" customFormat="false" ht="15" hidden="false" customHeight="false" outlineLevel="0" collapsed="false">
      <c r="A10" s="16" t="s">
        <v>576</v>
      </c>
      <c r="B10" s="17" t="s">
        <v>577</v>
      </c>
      <c r="C10" s="17" t="s">
        <v>578</v>
      </c>
      <c r="D10" s="16" t="s">
        <v>579</v>
      </c>
      <c r="E10" s="7"/>
      <c r="F10" s="7"/>
      <c r="G10" s="6"/>
      <c r="H10" s="7"/>
      <c r="I10" s="7"/>
      <c r="J10" s="7"/>
      <c r="K10" s="7"/>
    </row>
    <row r="11" customFormat="false" ht="15" hidden="false" customHeight="false" outlineLevel="0" collapsed="false">
      <c r="A11" s="16" t="s">
        <v>580</v>
      </c>
      <c r="B11" s="17" t="s">
        <v>581</v>
      </c>
      <c r="C11" s="17" t="s">
        <v>582</v>
      </c>
      <c r="D11" s="17" t="s">
        <v>583</v>
      </c>
      <c r="E11" s="7"/>
      <c r="F11" s="7"/>
      <c r="G11" s="6"/>
      <c r="H11" s="7"/>
      <c r="I11" s="7"/>
      <c r="J11" s="7"/>
      <c r="K11" s="7"/>
    </row>
    <row r="12" customFormat="false" ht="15" hidden="false" customHeight="false" outlineLevel="0" collapsed="false">
      <c r="A12" s="16" t="s">
        <v>584</v>
      </c>
      <c r="B12" s="17" t="s">
        <v>585</v>
      </c>
      <c r="C12" s="17" t="s">
        <v>586</v>
      </c>
      <c r="D12" s="16" t="s">
        <v>587</v>
      </c>
      <c r="E12" s="7"/>
      <c r="F12" s="7"/>
      <c r="G12" s="6"/>
      <c r="H12" s="7"/>
      <c r="I12" s="7"/>
      <c r="J12" s="7"/>
      <c r="K12" s="7"/>
    </row>
  </sheetData>
  <dataValidations count="1">
    <dataValidation allowBlank="true" errorStyle="stop" operator="between" showDropDown="false" showErrorMessage="false" showInputMessage="false" sqref="G5:G12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588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589</v>
      </c>
      <c r="B4" s="5" t="s">
        <v>590</v>
      </c>
      <c r="C4" s="5" t="s">
        <v>591</v>
      </c>
      <c r="D4" s="5" t="s">
        <v>592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7" t="s">
        <v>593</v>
      </c>
      <c r="B5" s="16" t="s">
        <v>594</v>
      </c>
      <c r="C5" s="16" t="s">
        <v>595</v>
      </c>
      <c r="D5" s="16" t="s">
        <v>596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6" t="s">
        <v>556</v>
      </c>
      <c r="B6" s="16" t="s">
        <v>597</v>
      </c>
      <c r="C6" s="17" t="s">
        <v>598</v>
      </c>
      <c r="D6" s="16" t="s">
        <v>599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7" t="s">
        <v>600</v>
      </c>
      <c r="B7" s="16" t="s">
        <v>601</v>
      </c>
      <c r="C7" s="17" t="s">
        <v>602</v>
      </c>
      <c r="D7" s="16" t="s">
        <v>603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604</v>
      </c>
      <c r="B8" s="16" t="s">
        <v>605</v>
      </c>
      <c r="C8" s="16" t="s">
        <v>606</v>
      </c>
      <c r="D8" s="17" t="s">
        <v>607</v>
      </c>
      <c r="E8" s="7"/>
      <c r="F8" s="7"/>
      <c r="G8" s="6"/>
      <c r="H8" s="7"/>
      <c r="I8" s="7"/>
      <c r="J8" s="7"/>
      <c r="K8" s="7"/>
    </row>
    <row r="9" customFormat="false" ht="15" hidden="false" customHeight="false" outlineLevel="0" collapsed="false">
      <c r="A9" s="17" t="s">
        <v>608</v>
      </c>
      <c r="B9" s="17" t="s">
        <v>609</v>
      </c>
      <c r="C9" s="16" t="s">
        <v>610</v>
      </c>
      <c r="D9" s="16" t="s">
        <v>611</v>
      </c>
      <c r="E9" s="7"/>
      <c r="F9" s="7"/>
      <c r="G9" s="6"/>
      <c r="H9" s="7"/>
      <c r="I9" s="7"/>
      <c r="J9" s="7"/>
      <c r="K9" s="7"/>
    </row>
    <row r="10" customFormat="false" ht="15" hidden="false" customHeight="false" outlineLevel="0" collapsed="false">
      <c r="A10" s="17" t="s">
        <v>612</v>
      </c>
      <c r="B10" s="16" t="s">
        <v>613</v>
      </c>
      <c r="C10" s="16" t="s">
        <v>614</v>
      </c>
      <c r="D10" s="16" t="s">
        <v>615</v>
      </c>
      <c r="E10" s="7"/>
      <c r="F10" s="7"/>
      <c r="G10" s="6"/>
      <c r="H10" s="7"/>
      <c r="I10" s="7"/>
      <c r="J10" s="7"/>
      <c r="K10" s="7"/>
    </row>
    <row r="11" customFormat="false" ht="15" hidden="false" customHeight="false" outlineLevel="0" collapsed="false">
      <c r="A11" s="16" t="s">
        <v>616</v>
      </c>
      <c r="B11" s="17" t="s">
        <v>617</v>
      </c>
      <c r="C11" s="16" t="s">
        <v>618</v>
      </c>
      <c r="D11" s="16" t="s">
        <v>619</v>
      </c>
      <c r="E11" s="7"/>
      <c r="F11" s="7"/>
      <c r="G11" s="6"/>
      <c r="H11" s="7"/>
      <c r="I11" s="7"/>
      <c r="J11" s="7"/>
      <c r="K11" s="7"/>
    </row>
    <row r="12" customFormat="false" ht="15" hidden="false" customHeight="false" outlineLevel="0" collapsed="false">
      <c r="A12" s="17" t="s">
        <v>620</v>
      </c>
      <c r="B12" s="17" t="s">
        <v>621</v>
      </c>
      <c r="C12" s="16" t="s">
        <v>622</v>
      </c>
      <c r="D12" s="16" t="s">
        <v>623</v>
      </c>
      <c r="E12" s="7"/>
      <c r="F12" s="7"/>
      <c r="G12" s="6"/>
      <c r="H12" s="7"/>
      <c r="I12" s="7"/>
      <c r="J12" s="7"/>
      <c r="K12" s="7"/>
    </row>
  </sheetData>
  <dataValidations count="1">
    <dataValidation allowBlank="true" errorStyle="stop" operator="between" showDropDown="false" showErrorMessage="false" showInputMessage="false" sqref="G5:G12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624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11</v>
      </c>
      <c r="B4" s="5" t="s">
        <v>625</v>
      </c>
      <c r="C4" s="5" t="s">
        <v>626</v>
      </c>
      <c r="D4" s="5" t="s">
        <v>627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628</v>
      </c>
      <c r="B5" s="16" t="s">
        <v>629</v>
      </c>
      <c r="C5" s="17" t="s">
        <v>630</v>
      </c>
      <c r="D5" s="16" t="s">
        <v>631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6" t="s">
        <v>632</v>
      </c>
      <c r="B6" s="17" t="s">
        <v>633</v>
      </c>
      <c r="C6" s="16" t="s">
        <v>634</v>
      </c>
      <c r="D6" s="17" t="s">
        <v>635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6" t="s">
        <v>636</v>
      </c>
      <c r="B7" s="16" t="s">
        <v>637</v>
      </c>
      <c r="C7" s="16" t="s">
        <v>638</v>
      </c>
      <c r="D7" s="16" t="s">
        <v>639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114</v>
      </c>
      <c r="B8" s="16" t="s">
        <v>640</v>
      </c>
      <c r="C8" s="17" t="s">
        <v>641</v>
      </c>
      <c r="D8" s="16" t="s">
        <v>642</v>
      </c>
      <c r="E8" s="7"/>
      <c r="F8" s="7"/>
      <c r="G8" s="6"/>
      <c r="H8" s="7"/>
      <c r="I8" s="7"/>
      <c r="J8" s="7"/>
      <c r="K8" s="7"/>
    </row>
  </sheetData>
  <dataValidations count="1">
    <dataValidation allowBlank="true" errorStyle="stop" operator="between" showDropDown="false" showErrorMessage="false" showInputMessage="false" sqref="G5:G8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643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273</v>
      </c>
      <c r="B4" s="5" t="s">
        <v>274</v>
      </c>
      <c r="C4" s="5" t="s">
        <v>275</v>
      </c>
      <c r="D4" s="5" t="s">
        <v>134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644</v>
      </c>
      <c r="B5" s="17" t="s">
        <v>645</v>
      </c>
      <c r="C5" s="16" t="s">
        <v>646</v>
      </c>
      <c r="D5" s="16" t="s">
        <v>647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6" t="s">
        <v>648</v>
      </c>
      <c r="B6" s="17" t="s">
        <v>649</v>
      </c>
      <c r="C6" s="16" t="s">
        <v>650</v>
      </c>
      <c r="D6" s="16" t="s">
        <v>651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6" t="s">
        <v>652</v>
      </c>
      <c r="B7" s="16" t="s">
        <v>653</v>
      </c>
      <c r="C7" s="16" t="s">
        <v>654</v>
      </c>
      <c r="D7" s="16" t="s">
        <v>655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656</v>
      </c>
      <c r="B8" s="17" t="s">
        <v>657</v>
      </c>
      <c r="C8" s="16" t="s">
        <v>658</v>
      </c>
      <c r="D8" s="16" t="s">
        <v>659</v>
      </c>
      <c r="E8" s="7"/>
      <c r="F8" s="7"/>
      <c r="G8" s="6"/>
      <c r="H8" s="7"/>
      <c r="I8" s="7"/>
      <c r="J8" s="7"/>
      <c r="K8" s="7"/>
    </row>
  </sheetData>
  <dataValidations count="1">
    <dataValidation allowBlank="true" errorStyle="stop" operator="between" showDropDown="false" showErrorMessage="false" showInputMessage="false" sqref="G5:G8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660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273</v>
      </c>
      <c r="B4" s="5" t="s">
        <v>274</v>
      </c>
      <c r="C4" s="5" t="s">
        <v>275</v>
      </c>
      <c r="D4" s="5" t="s">
        <v>134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7" t="s">
        <v>661</v>
      </c>
      <c r="B5" s="16" t="s">
        <v>662</v>
      </c>
      <c r="C5" s="16" t="s">
        <v>663</v>
      </c>
      <c r="D5" s="16" t="s">
        <v>664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7" t="s">
        <v>665</v>
      </c>
      <c r="B6" s="16" t="s">
        <v>666</v>
      </c>
      <c r="C6" s="16" t="s">
        <v>667</v>
      </c>
      <c r="D6" s="16" t="s">
        <v>668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7" t="s">
        <v>669</v>
      </c>
      <c r="B7" s="16" t="s">
        <v>670</v>
      </c>
      <c r="C7" s="16" t="s">
        <v>671</v>
      </c>
      <c r="D7" s="16" t="s">
        <v>672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7" t="s">
        <v>673</v>
      </c>
      <c r="B8" s="16" t="s">
        <v>674</v>
      </c>
      <c r="C8" s="16" t="s">
        <v>675</v>
      </c>
      <c r="D8" s="16" t="s">
        <v>676</v>
      </c>
      <c r="E8" s="7"/>
      <c r="F8" s="7"/>
      <c r="G8" s="6"/>
      <c r="H8" s="7"/>
      <c r="I8" s="7"/>
      <c r="J8" s="7"/>
      <c r="K8" s="7"/>
    </row>
  </sheetData>
  <dataValidations count="1">
    <dataValidation allowBlank="true" errorStyle="stop" operator="between" showDropDown="false" showErrorMessage="false" showInputMessage="false" sqref="G5:G8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677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273</v>
      </c>
      <c r="B4" s="5" t="s">
        <v>274</v>
      </c>
      <c r="C4" s="5" t="s">
        <v>275</v>
      </c>
      <c r="D4" s="5" t="s">
        <v>134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678</v>
      </c>
      <c r="B5" s="17" t="s">
        <v>679</v>
      </c>
      <c r="C5" s="17" t="s">
        <v>680</v>
      </c>
      <c r="D5" s="16" t="s">
        <v>681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6" t="s">
        <v>682</v>
      </c>
      <c r="B6" s="16" t="s">
        <v>683</v>
      </c>
      <c r="C6" s="16" t="s">
        <v>684</v>
      </c>
      <c r="D6" s="16" t="s">
        <v>685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6" t="s">
        <v>686</v>
      </c>
      <c r="B7" s="17" t="s">
        <v>687</v>
      </c>
      <c r="C7" s="16" t="s">
        <v>688</v>
      </c>
      <c r="D7" s="16" t="s">
        <v>689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690</v>
      </c>
      <c r="B8" s="16" t="s">
        <v>691</v>
      </c>
      <c r="C8" s="16" t="s">
        <v>692</v>
      </c>
      <c r="D8" s="16" t="s">
        <v>693</v>
      </c>
      <c r="E8" s="7"/>
      <c r="F8" s="7"/>
      <c r="G8" s="6"/>
      <c r="H8" s="7"/>
      <c r="I8" s="7"/>
      <c r="J8" s="7"/>
      <c r="K8" s="7"/>
    </row>
    <row r="9" customFormat="false" ht="15" hidden="false" customHeight="false" outlineLevel="0" collapsed="false">
      <c r="A9" s="16" t="s">
        <v>694</v>
      </c>
      <c r="B9" s="17" t="s">
        <v>695</v>
      </c>
      <c r="C9" s="17" t="s">
        <v>696</v>
      </c>
      <c r="D9" s="16" t="s">
        <v>697</v>
      </c>
      <c r="E9" s="7"/>
      <c r="F9" s="7"/>
      <c r="G9" s="6"/>
      <c r="H9" s="7"/>
      <c r="I9" s="7"/>
      <c r="J9" s="7"/>
      <c r="K9" s="7"/>
    </row>
    <row r="10" customFormat="false" ht="15" hidden="false" customHeight="false" outlineLevel="0" collapsed="false">
      <c r="A10" s="16" t="s">
        <v>698</v>
      </c>
      <c r="B10" s="17" t="s">
        <v>699</v>
      </c>
      <c r="C10" s="17" t="s">
        <v>700</v>
      </c>
      <c r="D10" s="16" t="s">
        <v>701</v>
      </c>
      <c r="E10" s="7"/>
      <c r="F10" s="7"/>
      <c r="G10" s="6"/>
      <c r="H10" s="7"/>
      <c r="I10" s="7"/>
      <c r="J10" s="7"/>
      <c r="K10" s="7"/>
    </row>
    <row r="11" customFormat="false" ht="15" hidden="false" customHeight="false" outlineLevel="0" collapsed="false">
      <c r="A11" s="16" t="s">
        <v>702</v>
      </c>
      <c r="B11" s="17" t="s">
        <v>703</v>
      </c>
      <c r="C11" s="16" t="s">
        <v>704</v>
      </c>
      <c r="D11" s="16" t="s">
        <v>705</v>
      </c>
      <c r="E11" s="7"/>
      <c r="F11" s="7"/>
      <c r="G11" s="6"/>
      <c r="H11" s="7"/>
      <c r="I11" s="7"/>
      <c r="J11" s="7"/>
      <c r="K11" s="7"/>
    </row>
    <row r="12" customFormat="false" ht="15" hidden="false" customHeight="false" outlineLevel="0" collapsed="false">
      <c r="A12" s="16" t="s">
        <v>706</v>
      </c>
      <c r="B12" s="17" t="s">
        <v>707</v>
      </c>
      <c r="C12" s="16" t="s">
        <v>708</v>
      </c>
      <c r="D12" s="16" t="s">
        <v>709</v>
      </c>
      <c r="E12" s="7"/>
      <c r="F12" s="7"/>
      <c r="G12" s="6"/>
      <c r="H12" s="7"/>
      <c r="I12" s="7"/>
      <c r="J12" s="7"/>
      <c r="K12" s="7"/>
    </row>
  </sheetData>
  <dataValidations count="1">
    <dataValidation allowBlank="true" errorStyle="stop" operator="between" showDropDown="false" showErrorMessage="false" showInputMessage="false" sqref="G5:G12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710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273</v>
      </c>
      <c r="B4" s="5" t="s">
        <v>274</v>
      </c>
      <c r="C4" s="5" t="s">
        <v>275</v>
      </c>
      <c r="D4" s="5" t="s">
        <v>134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7" t="s">
        <v>711</v>
      </c>
      <c r="B5" s="17" t="s">
        <v>712</v>
      </c>
      <c r="C5" s="16" t="s">
        <v>713</v>
      </c>
      <c r="D5" s="16" t="s">
        <v>714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7" t="s">
        <v>715</v>
      </c>
      <c r="B6" s="17" t="s">
        <v>716</v>
      </c>
      <c r="C6" s="16" t="s">
        <v>717</v>
      </c>
      <c r="D6" s="16" t="s">
        <v>718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7" t="s">
        <v>719</v>
      </c>
      <c r="B7" s="16" t="s">
        <v>720</v>
      </c>
      <c r="C7" s="16" t="s">
        <v>721</v>
      </c>
      <c r="D7" s="16" t="s">
        <v>722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7" t="s">
        <v>723</v>
      </c>
      <c r="B8" s="17" t="s">
        <v>724</v>
      </c>
      <c r="C8" s="16" t="s">
        <v>725</v>
      </c>
      <c r="D8" s="16" t="s">
        <v>726</v>
      </c>
      <c r="E8" s="7"/>
      <c r="F8" s="7"/>
      <c r="G8" s="6"/>
      <c r="H8" s="7"/>
      <c r="I8" s="7"/>
      <c r="J8" s="7"/>
      <c r="K8" s="7"/>
    </row>
    <row r="9" customFormat="false" ht="15" hidden="false" customHeight="false" outlineLevel="0" collapsed="false">
      <c r="A9" s="16" t="s">
        <v>727</v>
      </c>
      <c r="B9" s="16" t="s">
        <v>728</v>
      </c>
      <c r="C9" s="17" t="s">
        <v>729</v>
      </c>
      <c r="D9" s="16" t="s">
        <v>730</v>
      </c>
      <c r="E9" s="7"/>
      <c r="F9" s="7"/>
      <c r="G9" s="6"/>
      <c r="H9" s="7"/>
      <c r="I9" s="7"/>
      <c r="J9" s="7"/>
      <c r="K9" s="7"/>
    </row>
    <row r="10" customFormat="false" ht="15" hidden="false" customHeight="false" outlineLevel="0" collapsed="false">
      <c r="A10" s="16" t="s">
        <v>731</v>
      </c>
      <c r="B10" s="16" t="s">
        <v>732</v>
      </c>
      <c r="C10" s="16" t="s">
        <v>733</v>
      </c>
      <c r="D10" s="16" t="s">
        <v>734</v>
      </c>
      <c r="E10" s="7"/>
      <c r="F10" s="7"/>
      <c r="G10" s="6"/>
      <c r="H10" s="7"/>
      <c r="I10" s="7"/>
      <c r="J10" s="7"/>
      <c r="K10" s="7"/>
    </row>
    <row r="11" customFormat="false" ht="15" hidden="false" customHeight="false" outlineLevel="0" collapsed="false">
      <c r="A11" s="16" t="s">
        <v>735</v>
      </c>
      <c r="B11" s="16" t="s">
        <v>736</v>
      </c>
      <c r="C11" s="16" t="s">
        <v>737</v>
      </c>
      <c r="D11" s="17" t="s">
        <v>738</v>
      </c>
      <c r="E11" s="7"/>
      <c r="F11" s="7"/>
      <c r="G11" s="6"/>
      <c r="H11" s="7"/>
      <c r="I11" s="7"/>
      <c r="J11" s="7"/>
      <c r="K11" s="7"/>
    </row>
    <row r="12" customFormat="false" ht="15" hidden="false" customHeight="false" outlineLevel="0" collapsed="false">
      <c r="A12" s="16" t="s">
        <v>739</v>
      </c>
      <c r="B12" s="16" t="s">
        <v>740</v>
      </c>
      <c r="C12" s="16" t="s">
        <v>741</v>
      </c>
      <c r="D12" s="16" t="s">
        <v>742</v>
      </c>
      <c r="E12" s="7"/>
      <c r="F12" s="7"/>
      <c r="G12" s="6"/>
      <c r="H12" s="7"/>
      <c r="I12" s="7"/>
      <c r="J12" s="7"/>
      <c r="K12" s="7"/>
    </row>
  </sheetData>
  <dataValidations count="1">
    <dataValidation allowBlank="true" errorStyle="stop" operator="between" showDropDown="false" showErrorMessage="false" showInputMessage="false" sqref="G5:G12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743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273</v>
      </c>
      <c r="B4" s="5" t="s">
        <v>274</v>
      </c>
      <c r="C4" s="5" t="s">
        <v>275</v>
      </c>
      <c r="D4" s="5" t="s">
        <v>134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744</v>
      </c>
      <c r="B5" s="17" t="s">
        <v>745</v>
      </c>
      <c r="C5" s="16" t="s">
        <v>746</v>
      </c>
      <c r="D5" s="16" t="s">
        <v>747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6" t="s">
        <v>748</v>
      </c>
      <c r="B6" s="16" t="s">
        <v>749</v>
      </c>
      <c r="C6" s="16" t="s">
        <v>750</v>
      </c>
      <c r="D6" s="16" t="s">
        <v>751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6" t="s">
        <v>752</v>
      </c>
      <c r="B7" s="16" t="s">
        <v>753</v>
      </c>
      <c r="C7" s="16" t="s">
        <v>754</v>
      </c>
      <c r="D7" s="16" t="s">
        <v>755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756</v>
      </c>
      <c r="B8" s="17" t="s">
        <v>757</v>
      </c>
      <c r="C8" s="16" t="s">
        <v>758</v>
      </c>
      <c r="D8" s="16" t="s">
        <v>759</v>
      </c>
      <c r="E8" s="7"/>
      <c r="F8" s="7"/>
      <c r="G8" s="6"/>
      <c r="H8" s="7"/>
      <c r="I8" s="7"/>
      <c r="J8" s="7"/>
      <c r="K8" s="7"/>
    </row>
    <row r="9" customFormat="false" ht="15" hidden="false" customHeight="false" outlineLevel="0" collapsed="false">
      <c r="A9" s="16" t="s">
        <v>760</v>
      </c>
      <c r="B9" s="16" t="s">
        <v>761</v>
      </c>
      <c r="C9" s="16" t="s">
        <v>762</v>
      </c>
      <c r="D9" s="16" t="s">
        <v>763</v>
      </c>
      <c r="E9" s="7"/>
      <c r="F9" s="7"/>
      <c r="G9" s="6"/>
      <c r="H9" s="7"/>
      <c r="I9" s="7"/>
      <c r="J9" s="7"/>
      <c r="K9" s="7"/>
    </row>
    <row r="10" customFormat="false" ht="15" hidden="false" customHeight="false" outlineLevel="0" collapsed="false">
      <c r="A10" s="16" t="s">
        <v>764</v>
      </c>
      <c r="B10" s="16" t="s">
        <v>765</v>
      </c>
      <c r="C10" s="17" t="s">
        <v>766</v>
      </c>
      <c r="D10" s="17" t="s">
        <v>767</v>
      </c>
      <c r="E10" s="7"/>
      <c r="F10" s="7"/>
      <c r="G10" s="6"/>
      <c r="H10" s="7"/>
      <c r="I10" s="7"/>
      <c r="J10" s="7"/>
      <c r="K10" s="7"/>
    </row>
    <row r="11" customFormat="false" ht="15" hidden="false" customHeight="false" outlineLevel="0" collapsed="false">
      <c r="A11" s="16" t="s">
        <v>768</v>
      </c>
      <c r="B11" s="16" t="s">
        <v>769</v>
      </c>
      <c r="C11" s="16" t="s">
        <v>770</v>
      </c>
      <c r="D11" s="16" t="s">
        <v>771</v>
      </c>
      <c r="E11" s="7"/>
      <c r="F11" s="7"/>
      <c r="G11" s="6"/>
      <c r="H11" s="7"/>
      <c r="I11" s="7"/>
      <c r="J11" s="7"/>
      <c r="K11" s="7"/>
    </row>
    <row r="12" customFormat="false" ht="15" hidden="false" customHeight="false" outlineLevel="0" collapsed="false">
      <c r="A12" s="16" t="s">
        <v>772</v>
      </c>
      <c r="B12" s="16" t="s">
        <v>773</v>
      </c>
      <c r="C12" s="16" t="s">
        <v>774</v>
      </c>
      <c r="D12" s="16" t="s">
        <v>775</v>
      </c>
      <c r="E12" s="7"/>
      <c r="F12" s="7"/>
      <c r="G12" s="6"/>
      <c r="H12" s="7"/>
      <c r="I12" s="7"/>
      <c r="J12" s="7"/>
      <c r="K12" s="7"/>
    </row>
  </sheetData>
  <dataValidations count="1">
    <dataValidation allowBlank="true" errorStyle="stop" operator="between" showDropDown="false" showErrorMessage="false" showInputMessage="false" sqref="G5:G12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776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273</v>
      </c>
      <c r="B4" s="5" t="s">
        <v>274</v>
      </c>
      <c r="C4" s="5" t="s">
        <v>275</v>
      </c>
      <c r="D4" s="5" t="s">
        <v>134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7" t="s">
        <v>777</v>
      </c>
      <c r="B5" s="17" t="s">
        <v>778</v>
      </c>
      <c r="C5" s="16" t="s">
        <v>779</v>
      </c>
      <c r="D5" s="17" t="s">
        <v>780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7" t="s">
        <v>781</v>
      </c>
      <c r="B6" s="16" t="s">
        <v>782</v>
      </c>
      <c r="C6" s="17" t="s">
        <v>783</v>
      </c>
      <c r="D6" s="16" t="s">
        <v>784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6" t="s">
        <v>785</v>
      </c>
      <c r="B7" s="16" t="s">
        <v>786</v>
      </c>
      <c r="C7" s="16" t="s">
        <v>787</v>
      </c>
      <c r="D7" s="16" t="s">
        <v>788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789</v>
      </c>
      <c r="B8" s="17" t="s">
        <v>790</v>
      </c>
      <c r="C8" s="16" t="s">
        <v>791</v>
      </c>
      <c r="D8" s="16" t="s">
        <v>792</v>
      </c>
      <c r="E8" s="7"/>
      <c r="F8" s="7"/>
      <c r="G8" s="6"/>
      <c r="H8" s="7"/>
      <c r="I8" s="7"/>
      <c r="J8" s="7"/>
      <c r="K8" s="7"/>
    </row>
  </sheetData>
  <dataValidations count="1">
    <dataValidation allowBlank="true" errorStyle="stop" operator="between" showDropDown="false" showErrorMessage="false" showInputMessage="false" sqref="G5:G8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4"/>
  </cols>
  <sheetData>
    <row r="1" customFormat="false" ht="21.6" hidden="false" customHeight="false" outlineLevel="0" collapsed="false">
      <c r="A1" s="14" t="s">
        <v>793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794</v>
      </c>
      <c r="B4" s="5" t="s">
        <v>795</v>
      </c>
      <c r="C4" s="5" t="s">
        <v>796</v>
      </c>
      <c r="D4" s="5" t="s">
        <v>797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15" t="s">
        <v>18</v>
      </c>
    </row>
    <row r="5" customFormat="false" ht="15" hidden="false" customHeight="false" outlineLevel="0" collapsed="false">
      <c r="A5" s="16" t="s">
        <v>798</v>
      </c>
      <c r="B5" s="17" t="s">
        <v>799</v>
      </c>
      <c r="C5" s="16" t="s">
        <v>800</v>
      </c>
      <c r="D5" s="16" t="s">
        <v>801</v>
      </c>
      <c r="E5" s="7"/>
      <c r="F5" s="7"/>
      <c r="G5" s="6"/>
      <c r="H5" s="7"/>
      <c r="I5" s="7"/>
      <c r="J5" s="7"/>
      <c r="K5" s="7"/>
    </row>
    <row r="6" customFormat="false" ht="15" hidden="false" customHeight="false" outlineLevel="0" collapsed="false">
      <c r="A6" s="16" t="s">
        <v>802</v>
      </c>
      <c r="B6" s="16" t="s">
        <v>803</v>
      </c>
      <c r="C6" s="16" t="s">
        <v>804</v>
      </c>
      <c r="D6" s="17" t="s">
        <v>805</v>
      </c>
      <c r="E6" s="7"/>
      <c r="F6" s="7"/>
      <c r="G6" s="6"/>
      <c r="H6" s="7"/>
      <c r="I6" s="7"/>
      <c r="J6" s="7"/>
      <c r="K6" s="7"/>
    </row>
    <row r="7" customFormat="false" ht="15" hidden="false" customHeight="false" outlineLevel="0" collapsed="false">
      <c r="A7" s="16" t="s">
        <v>806</v>
      </c>
      <c r="B7" s="16" t="s">
        <v>807</v>
      </c>
      <c r="C7" s="16" t="s">
        <v>808</v>
      </c>
      <c r="D7" s="16" t="s">
        <v>809</v>
      </c>
      <c r="E7" s="7"/>
      <c r="F7" s="7"/>
      <c r="G7" s="6"/>
      <c r="H7" s="7"/>
      <c r="I7" s="7"/>
      <c r="J7" s="7"/>
      <c r="K7" s="7"/>
    </row>
    <row r="8" customFormat="false" ht="15" hidden="false" customHeight="false" outlineLevel="0" collapsed="false">
      <c r="A8" s="16" t="s">
        <v>810</v>
      </c>
      <c r="B8" s="16" t="s">
        <v>811</v>
      </c>
      <c r="C8" s="16" t="s">
        <v>812</v>
      </c>
      <c r="D8" s="16" t="s">
        <v>813</v>
      </c>
      <c r="E8" s="7"/>
      <c r="F8" s="7"/>
      <c r="G8" s="6"/>
      <c r="H8" s="7"/>
      <c r="I8" s="7"/>
      <c r="J8" s="7"/>
      <c r="K8" s="7"/>
    </row>
    <row r="9" customFormat="false" ht="15" hidden="false" customHeight="false" outlineLevel="0" collapsed="false">
      <c r="A9" s="16" t="s">
        <v>814</v>
      </c>
      <c r="B9" s="17" t="s">
        <v>815</v>
      </c>
      <c r="C9" s="16" t="s">
        <v>816</v>
      </c>
      <c r="D9" s="16" t="s">
        <v>817</v>
      </c>
      <c r="E9" s="7"/>
      <c r="F9" s="7"/>
      <c r="G9" s="6"/>
      <c r="H9" s="7"/>
      <c r="I9" s="7"/>
      <c r="J9" s="7"/>
      <c r="K9" s="7"/>
    </row>
    <row r="10" customFormat="false" ht="15" hidden="false" customHeight="false" outlineLevel="0" collapsed="false">
      <c r="A10" s="16" t="s">
        <v>818</v>
      </c>
      <c r="B10" s="16" t="s">
        <v>819</v>
      </c>
      <c r="C10" s="16" t="s">
        <v>820</v>
      </c>
      <c r="D10" s="17" t="s">
        <v>821</v>
      </c>
      <c r="E10" s="7"/>
      <c r="F10" s="7"/>
      <c r="G10" s="6"/>
      <c r="H10" s="7"/>
      <c r="I10" s="7"/>
      <c r="J10" s="7"/>
      <c r="K10" s="7"/>
    </row>
    <row r="11" customFormat="false" ht="15" hidden="false" customHeight="false" outlineLevel="0" collapsed="false">
      <c r="A11" s="17" t="s">
        <v>822</v>
      </c>
      <c r="B11" s="16" t="s">
        <v>823</v>
      </c>
      <c r="C11" s="16" t="s">
        <v>824</v>
      </c>
      <c r="D11" s="16" t="s">
        <v>825</v>
      </c>
      <c r="E11" s="7"/>
      <c r="F11" s="7"/>
      <c r="G11" s="6"/>
      <c r="H11" s="7"/>
      <c r="I11" s="7"/>
      <c r="J11" s="7"/>
      <c r="K11" s="7"/>
    </row>
    <row r="12" customFormat="false" ht="15" hidden="false" customHeight="false" outlineLevel="0" collapsed="false">
      <c r="A12" s="16" t="s">
        <v>826</v>
      </c>
      <c r="B12" s="16" t="s">
        <v>827</v>
      </c>
      <c r="C12" s="16" t="s">
        <v>828</v>
      </c>
      <c r="D12" s="16" t="s">
        <v>829</v>
      </c>
      <c r="E12" s="7"/>
      <c r="F12" s="7"/>
      <c r="G12" s="6"/>
      <c r="H12" s="7"/>
      <c r="I12" s="7"/>
      <c r="J12" s="7"/>
      <c r="K12" s="7"/>
    </row>
  </sheetData>
  <dataValidations count="1">
    <dataValidation allowBlank="true" errorStyle="stop" operator="between" showDropDown="false" showErrorMessage="false" showInputMessage="false" sqref="G5:G12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7" min="5" style="0" width="13"/>
    <col collapsed="false" customWidth="true" hidden="false" outlineLevel="0" max="8" min="8" style="0" width="11"/>
    <col collapsed="false" customWidth="true" hidden="false" outlineLevel="0" max="9" min="9" style="0" width="30"/>
    <col collapsed="false" customWidth="true" hidden="false" outlineLevel="0" max="10" min="10" style="0" width="26"/>
  </cols>
  <sheetData>
    <row r="1" customFormat="false" ht="21.6" hidden="false" customHeight="false" outlineLevel="0" collapsed="false">
      <c r="A1" s="14" t="s">
        <v>830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831</v>
      </c>
      <c r="B4" s="5" t="s">
        <v>832</v>
      </c>
      <c r="C4" s="5" t="s">
        <v>833</v>
      </c>
      <c r="D4" s="5" t="s">
        <v>834</v>
      </c>
      <c r="E4" s="5" t="s">
        <v>835</v>
      </c>
      <c r="F4" s="5" t="s">
        <v>836</v>
      </c>
      <c r="G4" s="5" t="s">
        <v>837</v>
      </c>
      <c r="H4" s="5" t="s">
        <v>838</v>
      </c>
      <c r="I4" s="5" t="s">
        <v>839</v>
      </c>
      <c r="J4" s="5" t="s">
        <v>18</v>
      </c>
    </row>
    <row r="5" customFormat="false" ht="15" hidden="false" customHeight="false" outlineLevel="0" collapsed="false">
      <c r="A5" s="16" t="s">
        <v>840</v>
      </c>
      <c r="B5" s="16" t="s">
        <v>841</v>
      </c>
      <c r="C5" s="16" t="n">
        <v>60.45</v>
      </c>
      <c r="D5" s="16" t="n">
        <v>1.0003</v>
      </c>
      <c r="E5" s="16" t="n">
        <v>0.919</v>
      </c>
      <c r="F5" s="16" t="n">
        <v>4.13</v>
      </c>
      <c r="G5" s="16" t="n">
        <v>0</v>
      </c>
      <c r="H5" s="10" t="str">
        <f aca="false">IF(OR(E5="",F5="",G5=""),"",IF(AND(F5/100&lt;02_완료기준!$B$5,E5&lt;=02_완료기준!$B$6,G5&lt;=02_완료기준!$B$7),"통과","실패"))</f>
        <v>통과</v>
      </c>
      <c r="I5" s="16"/>
      <c r="J5" s="16"/>
    </row>
    <row r="6" customFormat="false" ht="15" hidden="false" customHeight="false" outlineLevel="0" collapsed="false">
      <c r="A6" s="16" t="s">
        <v>842</v>
      </c>
      <c r="B6" s="16" t="s">
        <v>841</v>
      </c>
      <c r="C6" s="16" t="n">
        <v>63.18</v>
      </c>
      <c r="D6" s="16" t="n">
        <v>1.0002</v>
      </c>
      <c r="E6" s="16" t="n">
        <v>0.922</v>
      </c>
      <c r="F6" s="16" t="n">
        <v>4.25</v>
      </c>
      <c r="G6" s="16" t="n">
        <v>0</v>
      </c>
      <c r="H6" s="10" t="str">
        <f aca="false">IF(OR(E6="",F6="",G6=""),"",IF(AND(F6/100&lt;02_완료기준!$B$5,E6&lt;=02_완료기준!$B$6,G6&lt;=02_완료기준!$B$7),"통과","실패"))</f>
        <v>통과</v>
      </c>
      <c r="I6" s="16"/>
      <c r="J6" s="16"/>
    </row>
    <row r="7" customFormat="false" ht="15" hidden="false" customHeight="false" outlineLevel="0" collapsed="false">
      <c r="A7" s="16" t="s">
        <v>843</v>
      </c>
      <c r="B7" s="16" t="s">
        <v>844</v>
      </c>
      <c r="C7" s="16" t="n">
        <v>57.4</v>
      </c>
      <c r="D7" s="16" t="n">
        <v>0.9993</v>
      </c>
      <c r="E7" s="16" t="n">
        <v>0.824</v>
      </c>
      <c r="F7" s="16" t="n">
        <v>4.43</v>
      </c>
      <c r="G7" s="16" t="n">
        <v>0</v>
      </c>
      <c r="H7" s="10" t="str">
        <f aca="false">IF(OR(E7="",F7="",G7=""),"",IF(AND(F7/100&lt;02_완료기준!$B$5,E7&lt;=02_완료기준!$B$6,G7&lt;=02_완료기준!$B$7),"통과","실패"))</f>
        <v>통과</v>
      </c>
      <c r="I7" s="16"/>
      <c r="J7" s="16"/>
    </row>
    <row r="8" customFormat="false" ht="15" hidden="false" customHeight="false" outlineLevel="0" collapsed="false">
      <c r="A8" s="7" t="s">
        <v>845</v>
      </c>
      <c r="B8" s="7"/>
      <c r="C8" s="7"/>
      <c r="D8" s="7"/>
      <c r="E8" s="7"/>
      <c r="F8" s="7"/>
      <c r="G8" s="7"/>
      <c r="H8" s="10" t="str">
        <f aca="false">IF(OR(E8="",F8="",G8=""),"",IF(AND(F8/100&lt;02_완료기준!$B$5,E8&lt;=02_완료기준!$B$6,G8&lt;=02_완료기준!$B$7),"통과","실패"))</f>
        <v/>
      </c>
      <c r="I8" s="7"/>
      <c r="J8" s="7"/>
    </row>
    <row r="9" customFormat="false" ht="15" hidden="false" customHeight="false" outlineLevel="0" collapsed="false">
      <c r="A9" s="7" t="s">
        <v>846</v>
      </c>
      <c r="B9" s="7"/>
      <c r="C9" s="7"/>
      <c r="D9" s="7"/>
      <c r="E9" s="7"/>
      <c r="F9" s="7"/>
      <c r="G9" s="7"/>
      <c r="H9" s="10" t="str">
        <f aca="false">IF(OR(E9="",F9="",G9=""),"",IF(AND(F9/100&lt;02_완료기준!$B$5,E9&lt;=02_완료기준!$B$6,G9&lt;=02_완료기준!$B$7),"통과","실패"))</f>
        <v/>
      </c>
      <c r="I9" s="7"/>
      <c r="J9" s="7"/>
    </row>
    <row r="10" customFormat="false" ht="15" hidden="false" customHeight="false" outlineLevel="0" collapsed="false">
      <c r="A10" s="7" t="s">
        <v>847</v>
      </c>
      <c r="B10" s="7"/>
      <c r="C10" s="7"/>
      <c r="D10" s="7"/>
      <c r="E10" s="7"/>
      <c r="F10" s="7"/>
      <c r="G10" s="7"/>
      <c r="H10" s="10" t="str">
        <f aca="false">IF(OR(E10="",F10="",G10=""),"",IF(AND(F10/100&lt;02_완료기준!$B$5,E10&lt;=02_완료기준!$B$6,G10&lt;=02_완료기준!$B$7),"통과","실패"))</f>
        <v/>
      </c>
      <c r="I10" s="7"/>
      <c r="J10" s="7"/>
    </row>
    <row r="11" customFormat="false" ht="15" hidden="false" customHeight="false" outlineLevel="0" collapsed="false">
      <c r="A11" s="7" t="s">
        <v>848</v>
      </c>
      <c r="B11" s="7"/>
      <c r="C11" s="7"/>
      <c r="D11" s="7"/>
      <c r="E11" s="7"/>
      <c r="F11" s="7"/>
      <c r="G11" s="7"/>
      <c r="H11" s="10" t="str">
        <f aca="false">IF(OR(E11="",F11="",G11=""),"",IF(AND(F11/100&lt;02_완료기준!$B$5,E11&lt;=02_완료기준!$B$6,G11&lt;=02_완료기준!$B$7),"통과","실패"))</f>
        <v/>
      </c>
      <c r="I11" s="7"/>
      <c r="J11" s="7"/>
    </row>
    <row r="12" customFormat="false" ht="15" hidden="false" customHeight="false" outlineLevel="0" collapsed="false">
      <c r="A12" s="7" t="s">
        <v>849</v>
      </c>
      <c r="B12" s="7"/>
      <c r="C12" s="7"/>
      <c r="D12" s="7"/>
      <c r="E12" s="7"/>
      <c r="F12" s="7"/>
      <c r="G12" s="7"/>
      <c r="H12" s="10" t="str">
        <f aca="false">IF(OR(E12="",F12="",G12=""),"",IF(AND(F12/100&lt;02_완료기준!$B$5,E12&lt;=02_완료기준!$B$6,G12&lt;=02_완료기준!$B$7),"통과","실패"))</f>
        <v/>
      </c>
      <c r="I12" s="7"/>
      <c r="J12" s="7"/>
    </row>
    <row r="13" customFormat="false" ht="15" hidden="false" customHeight="false" outlineLevel="0" collapsed="false">
      <c r="A13" s="7" t="s">
        <v>850</v>
      </c>
      <c r="B13" s="7"/>
      <c r="C13" s="7"/>
      <c r="D13" s="7"/>
      <c r="E13" s="7"/>
      <c r="F13" s="7"/>
      <c r="G13" s="7"/>
      <c r="H13" s="10" t="str">
        <f aca="false">IF(OR(E13="",F13="",G13=""),"",IF(AND(F13/100&lt;02_완료기준!$B$5,E13&lt;=02_완료기준!$B$6,G13&lt;=02_완료기준!$B$7),"통과","실패"))</f>
        <v/>
      </c>
      <c r="I13" s="7"/>
      <c r="J13" s="7"/>
    </row>
    <row r="14" customFormat="false" ht="15" hidden="false" customHeight="false" outlineLevel="0" collapsed="false">
      <c r="A14" s="7" t="s">
        <v>851</v>
      </c>
      <c r="B14" s="7"/>
      <c r="C14" s="7"/>
      <c r="D14" s="7"/>
      <c r="E14" s="7"/>
      <c r="F14" s="7"/>
      <c r="G14" s="7"/>
      <c r="H14" s="10" t="str">
        <f aca="false">IF(OR(E14="",F14="",G14=""),"",IF(AND(F14/100&lt;02_완료기준!$B$5,E14&lt;=02_완료기준!$B$6,G14&lt;=02_완료기준!$B$7),"통과","실패"))</f>
        <v/>
      </c>
      <c r="I14" s="7"/>
      <c r="J14" s="7"/>
    </row>
    <row r="15" customFormat="false" ht="15" hidden="false" customHeight="false" outlineLevel="0" collapsed="false">
      <c r="A15" s="7" t="s">
        <v>852</v>
      </c>
      <c r="B15" s="7"/>
      <c r="C15" s="7"/>
      <c r="D15" s="7"/>
      <c r="E15" s="7"/>
      <c r="F15" s="7"/>
      <c r="G15" s="7"/>
      <c r="H15" s="10" t="str">
        <f aca="false">IF(OR(E15="",F15="",G15=""),"",IF(AND(F15/100&lt;02_완료기준!$B$5,E15&lt;=02_완료기준!$B$6,G15&lt;=02_완료기준!$B$7),"통과","실패"))</f>
        <v/>
      </c>
      <c r="I15" s="7"/>
      <c r="J15" s="7"/>
    </row>
    <row r="16" customFormat="false" ht="15" hidden="false" customHeight="false" outlineLevel="0" collapsed="false">
      <c r="A16" s="7" t="s">
        <v>853</v>
      </c>
      <c r="B16" s="7"/>
      <c r="C16" s="7"/>
      <c r="D16" s="7"/>
      <c r="E16" s="7"/>
      <c r="F16" s="7"/>
      <c r="G16" s="7"/>
      <c r="H16" s="10" t="str">
        <f aca="false">IF(OR(E16="",F16="",G16=""),"",IF(AND(F16/100&lt;02_완료기준!$B$5,E16&lt;=02_완료기준!$B$6,G16&lt;=02_완료기준!$B$7),"통과","실패"))</f>
        <v/>
      </c>
      <c r="I16" s="7"/>
      <c r="J16" s="7"/>
    </row>
    <row r="17" customFormat="false" ht="15" hidden="false" customHeight="false" outlineLevel="0" collapsed="false">
      <c r="A17" s="7" t="s">
        <v>854</v>
      </c>
      <c r="B17" s="7"/>
      <c r="C17" s="7"/>
      <c r="D17" s="7"/>
      <c r="E17" s="7"/>
      <c r="F17" s="7"/>
      <c r="G17" s="7"/>
      <c r="H17" s="10" t="str">
        <f aca="false">IF(OR(E17="",F17="",G17=""),"",IF(AND(F17/100&lt;02_완료기준!$B$5,E17&lt;=02_완료기준!$B$6,G17&lt;=02_완료기준!$B$7),"통과","실패"))</f>
        <v/>
      </c>
      <c r="I17" s="7"/>
      <c r="J17" s="7"/>
    </row>
    <row r="18" customFormat="false" ht="15" hidden="false" customHeight="false" outlineLevel="0" collapsed="false">
      <c r="A18" s="7" t="s">
        <v>855</v>
      </c>
      <c r="B18" s="7"/>
      <c r="C18" s="7"/>
      <c r="D18" s="7"/>
      <c r="E18" s="7"/>
      <c r="F18" s="7"/>
      <c r="G18" s="7"/>
      <c r="H18" s="10" t="str">
        <f aca="false">IF(OR(E18="",F18="",G18=""),"",IF(AND(F18/100&lt;02_완료기준!$B$5,E18&lt;=02_완료기준!$B$6,G18&lt;=02_완료기준!$B$7),"통과","실패"))</f>
        <v/>
      </c>
      <c r="I18" s="7"/>
      <c r="J18" s="7"/>
    </row>
    <row r="19" customFormat="false" ht="15" hidden="false" customHeight="false" outlineLevel="0" collapsed="false">
      <c r="A19" s="7" t="s">
        <v>856</v>
      </c>
      <c r="B19" s="7"/>
      <c r="C19" s="7"/>
      <c r="D19" s="7"/>
      <c r="E19" s="7"/>
      <c r="F19" s="7"/>
      <c r="G19" s="7"/>
      <c r="H19" s="10" t="str">
        <f aca="false">IF(OR(E19="",F19="",G19=""),"",IF(AND(F19/100&lt;02_완료기준!$B$5,E19&lt;=02_완료기준!$B$6,G19&lt;=02_완료기준!$B$7),"통과","실패"))</f>
        <v/>
      </c>
      <c r="I19" s="7"/>
      <c r="J19" s="7"/>
    </row>
    <row r="21" customFormat="false" ht="15" hidden="false" customHeight="false" outlineLevel="0" collapsed="false">
      <c r="A21" s="2" t="s">
        <v>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6" min="5" style="0" width="10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9" min="9" style="0" width="24"/>
  </cols>
  <sheetData>
    <row r="1" customFormat="false" ht="21.6" hidden="false" customHeight="false" outlineLevel="0" collapsed="false">
      <c r="A1" s="14" t="s">
        <v>858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5" t="s">
        <v>859</v>
      </c>
      <c r="B4" s="5" t="s">
        <v>860</v>
      </c>
      <c r="C4" s="5" t="s">
        <v>861</v>
      </c>
      <c r="D4" s="5" t="s">
        <v>862</v>
      </c>
      <c r="E4" s="5" t="s">
        <v>863</v>
      </c>
      <c r="F4" s="5" t="s">
        <v>14</v>
      </c>
      <c r="G4" s="5" t="s">
        <v>864</v>
      </c>
      <c r="H4" s="5" t="s">
        <v>839</v>
      </c>
      <c r="I4" s="5" t="s">
        <v>18</v>
      </c>
    </row>
    <row r="5" customFormat="false" ht="15" hidden="false" customHeight="false" outlineLevel="0" collapsed="false">
      <c r="A5" s="16" t="s">
        <v>865</v>
      </c>
      <c r="B5" s="17" t="s">
        <v>866</v>
      </c>
      <c r="C5" s="16" t="n">
        <v>0.355</v>
      </c>
      <c r="D5" s="16" t="s">
        <v>867</v>
      </c>
      <c r="E5" s="16" t="n">
        <v>0</v>
      </c>
      <c r="F5" s="16" t="s">
        <v>32</v>
      </c>
      <c r="G5" s="17" t="s">
        <v>868</v>
      </c>
      <c r="H5" s="16"/>
      <c r="I5" s="16"/>
    </row>
    <row r="6" customFormat="false" ht="15" hidden="false" customHeight="false" outlineLevel="0" collapsed="false">
      <c r="A6" s="16" t="s">
        <v>869</v>
      </c>
      <c r="B6" s="17" t="s">
        <v>870</v>
      </c>
      <c r="C6" s="16" t="n">
        <v>0.355</v>
      </c>
      <c r="D6" s="16" t="s">
        <v>867</v>
      </c>
      <c r="E6" s="16" t="n">
        <v>0</v>
      </c>
      <c r="F6" s="16" t="s">
        <v>32</v>
      </c>
      <c r="G6" s="17" t="s">
        <v>868</v>
      </c>
      <c r="H6" s="16"/>
      <c r="I6" s="16"/>
    </row>
    <row r="7" customFormat="false" ht="29.85" hidden="false" customHeight="false" outlineLevel="0" collapsed="false">
      <c r="A7" s="16" t="s">
        <v>871</v>
      </c>
      <c r="B7" s="16" t="s">
        <v>872</v>
      </c>
      <c r="C7" s="16"/>
      <c r="D7" s="16" t="s">
        <v>873</v>
      </c>
      <c r="E7" s="16"/>
      <c r="F7" s="16" t="s">
        <v>32</v>
      </c>
      <c r="G7" s="17" t="s">
        <v>868</v>
      </c>
      <c r="H7" s="16"/>
      <c r="I7" s="16"/>
    </row>
    <row r="8" customFormat="false" ht="15" hidden="false" customHeight="false" outlineLevel="0" collapsed="false">
      <c r="A8" s="6" t="s">
        <v>874</v>
      </c>
      <c r="B8" s="7"/>
      <c r="C8" s="7"/>
      <c r="D8" s="7"/>
      <c r="E8" s="7"/>
      <c r="F8" s="6"/>
      <c r="G8" s="7"/>
      <c r="H8" s="7"/>
      <c r="I8" s="7"/>
    </row>
    <row r="9" customFormat="false" ht="15" hidden="false" customHeight="false" outlineLevel="0" collapsed="false">
      <c r="A9" s="6" t="s">
        <v>875</v>
      </c>
      <c r="B9" s="7"/>
      <c r="C9" s="7"/>
      <c r="D9" s="7"/>
      <c r="E9" s="7"/>
      <c r="F9" s="6"/>
      <c r="G9" s="7"/>
      <c r="H9" s="7"/>
      <c r="I9" s="7"/>
    </row>
    <row r="10" customFormat="false" ht="15" hidden="false" customHeight="false" outlineLevel="0" collapsed="false">
      <c r="A10" s="7" t="s">
        <v>876</v>
      </c>
      <c r="B10" s="7"/>
      <c r="C10" s="7"/>
      <c r="D10" s="7"/>
      <c r="E10" s="7"/>
      <c r="F10" s="6"/>
      <c r="G10" s="7"/>
      <c r="H10" s="7"/>
      <c r="I10" s="7"/>
    </row>
    <row r="11" customFormat="false" ht="15" hidden="false" customHeight="false" outlineLevel="0" collapsed="false">
      <c r="A11" s="6" t="s">
        <v>877</v>
      </c>
      <c r="B11" s="7"/>
      <c r="C11" s="7"/>
      <c r="D11" s="7"/>
      <c r="E11" s="7"/>
      <c r="F11" s="6"/>
      <c r="G11" s="7"/>
      <c r="H11" s="7"/>
      <c r="I11" s="7"/>
    </row>
    <row r="12" customFormat="false" ht="15" hidden="false" customHeight="false" outlineLevel="0" collapsed="false">
      <c r="A12" s="7" t="s">
        <v>878</v>
      </c>
      <c r="B12" s="7"/>
      <c r="C12" s="7"/>
      <c r="D12" s="7"/>
      <c r="E12" s="7"/>
      <c r="F12" s="6"/>
      <c r="G12" s="7"/>
      <c r="H12" s="7"/>
      <c r="I12" s="7"/>
    </row>
    <row r="13" customFormat="false" ht="15" hidden="false" customHeight="false" outlineLevel="0" collapsed="false">
      <c r="A13" s="7" t="s">
        <v>879</v>
      </c>
      <c r="B13" s="7"/>
      <c r="C13" s="7"/>
      <c r="D13" s="7"/>
      <c r="E13" s="7"/>
      <c r="F13" s="6"/>
      <c r="G13" s="7"/>
      <c r="H13" s="7"/>
      <c r="I13" s="7"/>
    </row>
    <row r="14" customFormat="false" ht="15" hidden="false" customHeight="false" outlineLevel="0" collapsed="false">
      <c r="A14" s="6" t="s">
        <v>880</v>
      </c>
      <c r="B14" s="7"/>
      <c r="C14" s="7"/>
      <c r="D14" s="7"/>
      <c r="E14" s="7"/>
      <c r="F14" s="6"/>
      <c r="G14" s="7"/>
      <c r="H14" s="7"/>
      <c r="I14" s="7"/>
    </row>
    <row r="15" customFormat="false" ht="15" hidden="false" customHeight="false" outlineLevel="0" collapsed="false">
      <c r="A15" s="6" t="s">
        <v>880</v>
      </c>
      <c r="B15" s="7"/>
      <c r="C15" s="7"/>
      <c r="D15" s="7"/>
      <c r="E15" s="7"/>
      <c r="F15" s="6"/>
      <c r="G15" s="7"/>
      <c r="H15" s="7"/>
      <c r="I15" s="7"/>
    </row>
  </sheetData>
  <dataValidations count="1">
    <dataValidation allowBlank="true" errorStyle="stop" operator="between" showDropDown="false" showErrorMessage="false" showInputMessage="false" sqref="F8:F15" type="list">
      <formula1>"통과,보류,실패,미측정"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2026-10-27T00:41:53Z</dcterms:created>
  <dc:creator>openpyxl</dc:creator>
  <dc:description/>
  <dc:language>en-US</dc:language>
  <cp:lastModifiedBy/>
  <dcterms:modified xsi:type="dcterms:W3CDTF">2026-10-27T00:41:54Z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